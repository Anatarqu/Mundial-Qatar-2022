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esktop\"/>
    </mc:Choice>
  </mc:AlternateContent>
  <xr:revisionPtr revIDLastSave="0" documentId="13_ncr:1_{C080A836-CBE6-4165-A0FF-CC0058269407}" xr6:coauthVersionLast="47" xr6:coauthVersionMax="47" xr10:uidLastSave="{00000000-0000-0000-0000-000000000000}"/>
  <bookViews>
    <workbookView xWindow="-120" yWindow="-120" windowWidth="29040" windowHeight="16440" xr2:uid="{8193162C-B8E1-4242-8DD3-8B8C081E00BF}"/>
  </bookViews>
  <sheets>
    <sheet name="MUNDIAL" sheetId="1" r:id="rId1"/>
  </sheets>
  <definedNames>
    <definedName name="_xlnm._FilterDatabase" localSheetId="0" hidden="1">MUNDIAL!$AY$33:$BB$37</definedName>
    <definedName name="_xlnm.Print_Area" localSheetId="0">MUNDIAL!$Y$17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0" i="1" l="1"/>
  <c r="AF19" i="1"/>
  <c r="AL30" i="1"/>
  <c r="AL29" i="1"/>
  <c r="AL13" i="1"/>
  <c r="AL12" i="1"/>
  <c r="Z36" i="1"/>
  <c r="Z25" i="1"/>
  <c r="Z24" i="1"/>
  <c r="Z12" i="1"/>
  <c r="Z11" i="1"/>
  <c r="T20" i="1"/>
  <c r="T19" i="1"/>
  <c r="N30" i="1"/>
  <c r="N29" i="1"/>
  <c r="N13" i="1"/>
  <c r="AR34" i="1"/>
  <c r="AR33" i="1"/>
  <c r="AR26" i="1"/>
  <c r="AR25" i="1"/>
  <c r="AR18" i="1"/>
  <c r="AR17" i="1"/>
  <c r="AR10" i="1"/>
  <c r="AR9" i="1"/>
  <c r="H34" i="1"/>
  <c r="H33" i="1"/>
  <c r="H26" i="1"/>
  <c r="H25" i="1"/>
  <c r="H18" i="1"/>
  <c r="H17" i="1"/>
  <c r="H10" i="1"/>
  <c r="N12" i="1" s="1"/>
  <c r="H9" i="1"/>
</calcChain>
</file>

<file path=xl/sharedStrings.xml><?xml version="1.0" encoding="utf-8"?>
<sst xmlns="http://schemas.openxmlformats.org/spreadsheetml/2006/main" count="92" uniqueCount="53">
  <si>
    <t>Grupo A</t>
  </si>
  <si>
    <t>No.</t>
  </si>
  <si>
    <t xml:space="preserve">Pais </t>
  </si>
  <si>
    <t>Puntos</t>
  </si>
  <si>
    <t>PJ</t>
  </si>
  <si>
    <t>Qatar</t>
  </si>
  <si>
    <t>Ecuador</t>
  </si>
  <si>
    <t>Senegal</t>
  </si>
  <si>
    <t>Holanda</t>
  </si>
  <si>
    <t>GrupoB</t>
  </si>
  <si>
    <t>Inglaterra</t>
  </si>
  <si>
    <t>Iran</t>
  </si>
  <si>
    <t>USA</t>
  </si>
  <si>
    <t>Gales</t>
  </si>
  <si>
    <t>GrupoC</t>
  </si>
  <si>
    <t>Argentina</t>
  </si>
  <si>
    <t>Arabia Saudi</t>
  </si>
  <si>
    <t>Mexico</t>
  </si>
  <si>
    <t>Polonia</t>
  </si>
  <si>
    <t>GrupoD</t>
  </si>
  <si>
    <t xml:space="preserve">Francia </t>
  </si>
  <si>
    <t>Australia</t>
  </si>
  <si>
    <t>Dinamarca</t>
  </si>
  <si>
    <t>Tunez</t>
  </si>
  <si>
    <t>GrupoE</t>
  </si>
  <si>
    <t>GrupoF</t>
  </si>
  <si>
    <t>GrupoG</t>
  </si>
  <si>
    <t>GrupoH</t>
  </si>
  <si>
    <t>España</t>
  </si>
  <si>
    <t>Costa Rica</t>
  </si>
  <si>
    <t>Alemania</t>
  </si>
  <si>
    <t>Japon</t>
  </si>
  <si>
    <t>Belgica</t>
  </si>
  <si>
    <t>Canada</t>
  </si>
  <si>
    <t>Marruecos</t>
  </si>
  <si>
    <t>Croacia</t>
  </si>
  <si>
    <t>Brasil</t>
  </si>
  <si>
    <t>Serbia</t>
  </si>
  <si>
    <t>Suiza</t>
  </si>
  <si>
    <t>Camerun</t>
  </si>
  <si>
    <t>Portugal</t>
  </si>
  <si>
    <t>Ghana</t>
  </si>
  <si>
    <t>Uruguay</t>
  </si>
  <si>
    <t xml:space="preserve">Corea </t>
  </si>
  <si>
    <t>FASE DE GRUPOS</t>
  </si>
  <si>
    <t>OCTAVOS DE FINAL</t>
  </si>
  <si>
    <t>CUARTOS DE FINAL</t>
  </si>
  <si>
    <t>SEMIFINAL</t>
  </si>
  <si>
    <t>FINAL</t>
  </si>
  <si>
    <t>TERCER PUESTO</t>
  </si>
  <si>
    <t>Bandera</t>
  </si>
  <si>
    <t>CAMPEÓN</t>
  </si>
  <si>
    <t>FIFA World Cup 2022 - Qatar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</si>
</sst>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6"/>
      <color theme="1"/>
      <name val="Arial Black"/>
      <family val="2"/>
    </font>
    <font>
      <sz val="22"/>
      <color theme="1"/>
      <name val="Arial Black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Arial Black"/>
      <family val="2"/>
    </font>
    <font>
      <sz val="16"/>
      <color theme="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9900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Border="1"/>
    <xf numFmtId="0" fontId="0" fillId="2" borderId="8" xfId="0" applyFill="1" applyBorder="1"/>
    <xf numFmtId="0" fontId="0" fillId="2" borderId="0" xfId="0" applyFill="1"/>
    <xf numFmtId="0" fontId="0" fillId="2" borderId="9" xfId="0" applyFill="1" applyBorder="1"/>
    <xf numFmtId="0" fontId="5" fillId="2" borderId="10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0" xfId="0" applyFont="1"/>
    <xf numFmtId="0" fontId="3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" fontId="5" fillId="2" borderId="11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4.png"/><Relationship Id="rId21" Type="http://schemas.openxmlformats.org/officeDocument/2006/relationships/hyperlink" Target="https://es.vikidia.org/wiki/Arabia_Saud%C3%AD" TargetMode="Externa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hyperlink" Target="https://partidolivre.pt/comunicado/o-teste-democratico-do-brasil" TargetMode="External"/><Relationship Id="rId50" Type="http://schemas.openxmlformats.org/officeDocument/2006/relationships/image" Target="../media/image26.jpeg"/><Relationship Id="rId55" Type="http://schemas.openxmlformats.org/officeDocument/2006/relationships/hyperlink" Target="https://es.wikipedia.org/wiki/Bandera_de_Portugal" TargetMode="External"/><Relationship Id="rId63" Type="http://schemas.openxmlformats.org/officeDocument/2006/relationships/hyperlink" Target="https://es.wikipedia.org/wiki/Archivo:Bandera_de_M%C3%A9xico_(1934-1968).png" TargetMode="External"/><Relationship Id="rId7" Type="http://schemas.openxmlformats.org/officeDocument/2006/relationships/hyperlink" Target="https://pixabay.com/en/senegal-flag-national-country-26914/" TargetMode="External"/><Relationship Id="rId2" Type="http://schemas.openxmlformats.org/officeDocument/2006/relationships/image" Target="../media/image2.jpeg"/><Relationship Id="rId16" Type="http://schemas.openxmlformats.org/officeDocument/2006/relationships/image" Target="../media/image9.png"/><Relationship Id="rId29" Type="http://schemas.openxmlformats.org/officeDocument/2006/relationships/hyperlink" Target="https://www.partidosdelaroja.com/2009/08/dinamarca.html" TargetMode="External"/><Relationship Id="rId11" Type="http://schemas.openxmlformats.org/officeDocument/2006/relationships/hyperlink" Target="https://www.publicdomainpictures.net/view-image.php?image=18386&amp;picture=colors-of-england" TargetMode="Externa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hyperlink" Target="https://es.wikipedia.org/wiki/Bandera_de_Alemania" TargetMode="External"/><Relationship Id="rId40" Type="http://schemas.openxmlformats.org/officeDocument/2006/relationships/image" Target="../media/image21.jpeg"/><Relationship Id="rId45" Type="http://schemas.openxmlformats.org/officeDocument/2006/relationships/hyperlink" Target="https://pixabay.com/ko/%ED%81%AC%EB%A1%9C%EC%95%84%ED%8B%B0%EC%95%84-%ED%94%8C%EB%9E%98%EA%B7%B8-%EA%B5%AD%EA%B8%B0-%EA%B5%AD%EA%B0%80-%EC%86%8C%EC%9C%84-%EA%B8%B0%ED%98%B8-%EA%B5%AD%EA%B0%80-%EC%86%8C%EC%9C%84-%EC%83%81%ED%83%9C-162272/" TargetMode="External"/><Relationship Id="rId53" Type="http://schemas.openxmlformats.org/officeDocument/2006/relationships/hyperlink" Target="https://klexikon.zum.de/wiki/Datei:Flag_of_Cameroon.svg" TargetMode="External"/><Relationship Id="rId58" Type="http://schemas.openxmlformats.org/officeDocument/2006/relationships/image" Target="../media/image30.png"/><Relationship Id="rId5" Type="http://schemas.openxmlformats.org/officeDocument/2006/relationships/hyperlink" Target="https://courses.lumenlearning.com/suny-oneonta-latinamericanciv/chapter/simon-bolivar-y-la-gran-colombia/" TargetMode="External"/><Relationship Id="rId61" Type="http://schemas.openxmlformats.org/officeDocument/2006/relationships/hyperlink" Target="https://pixabay.com/es/corea-del-sur-bandera-26819/" TargetMode="External"/><Relationship Id="rId19" Type="http://schemas.openxmlformats.org/officeDocument/2006/relationships/hyperlink" Target="https://www.flickr.com/photos/franciscocellini/4686997522" TargetMode="External"/><Relationship Id="rId14" Type="http://schemas.openxmlformats.org/officeDocument/2006/relationships/image" Target="../media/image8.png"/><Relationship Id="rId22" Type="http://schemas.openxmlformats.org/officeDocument/2006/relationships/image" Target="../media/image12.jpeg"/><Relationship Id="rId27" Type="http://schemas.openxmlformats.org/officeDocument/2006/relationships/hyperlink" Target="https://es.wikipedia.org/wiki/Bandera_de_Australia" TargetMode="External"/><Relationship Id="rId30" Type="http://schemas.openxmlformats.org/officeDocument/2006/relationships/image" Target="../media/image16.png"/><Relationship Id="rId35" Type="http://schemas.openxmlformats.org/officeDocument/2006/relationships/hyperlink" Target="https://commons.wikimedia.org/wiki/File:Flag_of_Costa_Rica.svg" TargetMode="External"/><Relationship Id="rId43" Type="http://schemas.openxmlformats.org/officeDocument/2006/relationships/hyperlink" Target="http://pixabay.com/fr/maroc-drapeau-drapeau-national-162365/" TargetMode="External"/><Relationship Id="rId48" Type="http://schemas.openxmlformats.org/officeDocument/2006/relationships/image" Target="../media/image25.jpeg"/><Relationship Id="rId56" Type="http://schemas.openxmlformats.org/officeDocument/2006/relationships/image" Target="../media/image29.png"/><Relationship Id="rId64" Type="http://schemas.openxmlformats.org/officeDocument/2006/relationships/image" Target="../media/image33.png"/><Relationship Id="rId8" Type="http://schemas.openxmlformats.org/officeDocument/2006/relationships/image" Target="../media/image5.png"/><Relationship Id="rId51" Type="http://schemas.openxmlformats.org/officeDocument/2006/relationships/hyperlink" Target="https://www.publicdomainpictures.net/view-image.php?image=241611&amp;picture=swiss-flag" TargetMode="External"/><Relationship Id="rId3" Type="http://schemas.openxmlformats.org/officeDocument/2006/relationships/hyperlink" Target="http://www.public-domain-image.com/full-image/flags-of-the-world-public-domain-images-pictures/flag-of-qatar.jpg-royalty-free-stock-photograph.html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es.wikipedia.org/wiki/Gales" TargetMode="External"/><Relationship Id="rId25" Type="http://schemas.openxmlformats.org/officeDocument/2006/relationships/hyperlink" Target="https://en.wikipedia.org/wiki/File:Flag_of_France.png" TargetMode="External"/><Relationship Id="rId33" Type="http://schemas.openxmlformats.org/officeDocument/2006/relationships/hyperlink" Target="https://es.wikipedia.org/wiki/Bandera_de_Espa%C3%B1a" TargetMode="External"/><Relationship Id="rId38" Type="http://schemas.openxmlformats.org/officeDocument/2006/relationships/image" Target="../media/image20.png"/><Relationship Id="rId46" Type="http://schemas.openxmlformats.org/officeDocument/2006/relationships/image" Target="../media/image24.jpeg"/><Relationship Id="rId59" Type="http://schemas.openxmlformats.org/officeDocument/2006/relationships/hyperlink" Target="https://es.wikipedia.org/wiki/Bandera_de_Uruguay" TargetMode="External"/><Relationship Id="rId20" Type="http://schemas.openxmlformats.org/officeDocument/2006/relationships/image" Target="../media/image11.png"/><Relationship Id="rId41" Type="http://schemas.openxmlformats.org/officeDocument/2006/relationships/hyperlink" Target="https://www.flickr.com/photos/alfredo-grados/18362935034" TargetMode="Externa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5" Type="http://schemas.openxmlformats.org/officeDocument/2006/relationships/hyperlink" Target="https://es.wikipedia.org/wiki/Bandera_de_los_Estados_Unidos" TargetMode="External"/><Relationship Id="rId23" Type="http://schemas.openxmlformats.org/officeDocument/2006/relationships/hyperlink" Target="https://pixnio.com/flags-of-the-world/flag-of-poland" TargetMode="Externa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hyperlink" Target="https://elordenmundial.com/serbia-en-2015-bailando-con-la-ue-y-rusia-en-el-salon-de-la-osce/" TargetMode="External"/><Relationship Id="rId57" Type="http://schemas.openxmlformats.org/officeDocument/2006/relationships/hyperlink" Target="https://klexikon.zum.de/wiki/Datei:Flag_of_Ghana.svg" TargetMode="External"/><Relationship Id="rId10" Type="http://schemas.openxmlformats.org/officeDocument/2006/relationships/image" Target="../media/image6.jpeg"/><Relationship Id="rId31" Type="http://schemas.openxmlformats.org/officeDocument/2006/relationships/hyperlink" Target="https://es.wikipedia.org/wiki/Bandera_de_T%C3%BAnez" TargetMode="Externa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65" Type="http://schemas.openxmlformats.org/officeDocument/2006/relationships/hyperlink" Target="https://pt.wikipedia.org/wiki/Ficheiro:Flag_of_Canada.png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pixabay.com/es/holanda-bandera-pa%C3%ADses-bajos-160486/" TargetMode="External"/><Relationship Id="rId13" Type="http://schemas.openxmlformats.org/officeDocument/2006/relationships/hyperlink" Target="https://es.abcdef.wiki/wiki/Islamic_flags" TargetMode="External"/><Relationship Id="rId18" Type="http://schemas.openxmlformats.org/officeDocument/2006/relationships/image" Target="../media/image10.jpeg"/><Relationship Id="rId39" Type="http://schemas.openxmlformats.org/officeDocument/2006/relationships/hyperlink" Target="https://es.qaz.wiki/wiki/Flag_of_Japa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60180</xdr:colOff>
      <xdr:row>0</xdr:row>
      <xdr:rowOff>0</xdr:rowOff>
    </xdr:from>
    <xdr:to>
      <xdr:col>2</xdr:col>
      <xdr:colOff>47623</xdr:colOff>
      <xdr:row>3</xdr:row>
      <xdr:rowOff>14314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C42514A-163C-425B-9C15-34DE88EF5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80" y="0"/>
          <a:ext cx="1297131" cy="585814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9</xdr:row>
      <xdr:rowOff>8282</xdr:rowOff>
    </xdr:from>
    <xdr:to>
      <xdr:col>12</xdr:col>
      <xdr:colOff>739588</xdr:colOff>
      <xdr:row>12</xdr:row>
      <xdr:rowOff>11206</xdr:rowOff>
    </xdr:to>
    <xdr:cxnSp macro="">
      <xdr:nvCxnSpPr>
        <xdr:cNvPr id="21" name="Conector: angular 20">
          <a:extLst>
            <a:ext uri="{FF2B5EF4-FFF2-40B4-BE49-F238E27FC236}">
              <a16:creationId xmlns:a16="http://schemas.microsoft.com/office/drawing/2014/main" id="{5C03736E-CA40-46C8-AA9B-6B534DC654A7}"/>
            </a:ext>
          </a:extLst>
        </xdr:cNvPr>
        <xdr:cNvCxnSpPr/>
      </xdr:nvCxnSpPr>
      <xdr:spPr>
        <a:xfrm>
          <a:off x="8292353" y="2339106"/>
          <a:ext cx="1501588" cy="944218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11206</xdr:colOff>
      <xdr:row>12</xdr:row>
      <xdr:rowOff>22411</xdr:rowOff>
    </xdr:from>
    <xdr:to>
      <xdr:col>12</xdr:col>
      <xdr:colOff>728382</xdr:colOff>
      <xdr:row>17</xdr:row>
      <xdr:rowOff>0</xdr:rowOff>
    </xdr:to>
    <xdr:cxnSp macro="">
      <xdr:nvCxnSpPr>
        <xdr:cNvPr id="23" name="Conector: angular 22">
          <a:extLst>
            <a:ext uri="{FF2B5EF4-FFF2-40B4-BE49-F238E27FC236}">
              <a16:creationId xmlns:a16="http://schemas.microsoft.com/office/drawing/2014/main" id="{9612222E-DD1E-4A96-A446-B95C8B1F8635}"/>
            </a:ext>
          </a:extLst>
        </xdr:cNvPr>
        <xdr:cNvCxnSpPr/>
      </xdr:nvCxnSpPr>
      <xdr:spPr>
        <a:xfrm flipV="1">
          <a:off x="8303559" y="3294529"/>
          <a:ext cx="1479176" cy="1299883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757518</xdr:colOff>
      <xdr:row>25</xdr:row>
      <xdr:rowOff>3800</xdr:rowOff>
    </xdr:from>
    <xdr:to>
      <xdr:col>12</xdr:col>
      <xdr:colOff>735106</xdr:colOff>
      <xdr:row>28</xdr:row>
      <xdr:rowOff>253253</xdr:rowOff>
    </xdr:to>
    <xdr:cxnSp macro="">
      <xdr:nvCxnSpPr>
        <xdr:cNvPr id="26" name="Conector: angular 25">
          <a:extLst>
            <a:ext uri="{FF2B5EF4-FFF2-40B4-BE49-F238E27FC236}">
              <a16:creationId xmlns:a16="http://schemas.microsoft.com/office/drawing/2014/main" id="{B9AF968C-4EBB-4FEC-AF75-3D07971D0D27}"/>
            </a:ext>
          </a:extLst>
        </xdr:cNvPr>
        <xdr:cNvCxnSpPr/>
      </xdr:nvCxnSpPr>
      <xdr:spPr>
        <a:xfrm>
          <a:off x="8287871" y="6861800"/>
          <a:ext cx="1501588" cy="944218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28</xdr:row>
      <xdr:rowOff>246529</xdr:rowOff>
    </xdr:from>
    <xdr:to>
      <xdr:col>12</xdr:col>
      <xdr:colOff>728382</xdr:colOff>
      <xdr:row>32</xdr:row>
      <xdr:rowOff>280147</xdr:rowOff>
    </xdr:to>
    <xdr:cxnSp macro="">
      <xdr:nvCxnSpPr>
        <xdr:cNvPr id="27" name="Conector: angular 26">
          <a:extLst>
            <a:ext uri="{FF2B5EF4-FFF2-40B4-BE49-F238E27FC236}">
              <a16:creationId xmlns:a16="http://schemas.microsoft.com/office/drawing/2014/main" id="{52DE25FF-FFC9-4082-8894-0ED69C118B99}"/>
            </a:ext>
          </a:extLst>
        </xdr:cNvPr>
        <xdr:cNvCxnSpPr/>
      </xdr:nvCxnSpPr>
      <xdr:spPr>
        <a:xfrm flipV="1">
          <a:off x="8292353" y="7799294"/>
          <a:ext cx="1490382" cy="1165412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6723</xdr:colOff>
      <xdr:row>16</xdr:row>
      <xdr:rowOff>15006</xdr:rowOff>
    </xdr:from>
    <xdr:to>
      <xdr:col>18</xdr:col>
      <xdr:colOff>746311</xdr:colOff>
      <xdr:row>19</xdr:row>
      <xdr:rowOff>17930</xdr:rowOff>
    </xdr:to>
    <xdr:cxnSp macro="">
      <xdr:nvCxnSpPr>
        <xdr:cNvPr id="36" name="Conector: angular 35">
          <a:extLst>
            <a:ext uri="{FF2B5EF4-FFF2-40B4-BE49-F238E27FC236}">
              <a16:creationId xmlns:a16="http://schemas.microsoft.com/office/drawing/2014/main" id="{1BA478B5-0FE0-4F7E-BB6F-368C40B3B1E4}"/>
            </a:ext>
          </a:extLst>
        </xdr:cNvPr>
        <xdr:cNvCxnSpPr/>
      </xdr:nvCxnSpPr>
      <xdr:spPr>
        <a:xfrm>
          <a:off x="12871076" y="4295653"/>
          <a:ext cx="1501588" cy="944218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5603</xdr:colOff>
      <xdr:row>19</xdr:row>
      <xdr:rowOff>16009</xdr:rowOff>
    </xdr:from>
    <xdr:to>
      <xdr:col>18</xdr:col>
      <xdr:colOff>733985</xdr:colOff>
      <xdr:row>23</xdr:row>
      <xdr:rowOff>172092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A5FB06B7-1EDF-4301-95DD-80C18EE137F8}"/>
            </a:ext>
          </a:extLst>
        </xdr:cNvPr>
        <xdr:cNvCxnSpPr/>
      </xdr:nvCxnSpPr>
      <xdr:spPr>
        <a:xfrm flipV="1">
          <a:off x="12877960" y="5241152"/>
          <a:ext cx="1490382" cy="1163011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8</xdr:row>
      <xdr:rowOff>261937</xdr:rowOff>
    </xdr:from>
    <xdr:to>
      <xdr:col>43</xdr:col>
      <xdr:colOff>23813</xdr:colOff>
      <xdr:row>11</xdr:row>
      <xdr:rowOff>285749</xdr:rowOff>
    </xdr:to>
    <xdr:cxnSp macro="">
      <xdr:nvCxnSpPr>
        <xdr:cNvPr id="38" name="Conector: angular 37">
          <a:extLst>
            <a:ext uri="{FF2B5EF4-FFF2-40B4-BE49-F238E27FC236}">
              <a16:creationId xmlns:a16="http://schemas.microsoft.com/office/drawing/2014/main" id="{A874B1AE-6BFE-4688-89AF-9F34014035A1}"/>
            </a:ext>
          </a:extLst>
        </xdr:cNvPr>
        <xdr:cNvCxnSpPr/>
      </xdr:nvCxnSpPr>
      <xdr:spPr>
        <a:xfrm rot="10800000" flipV="1">
          <a:off x="31170563" y="2262187"/>
          <a:ext cx="1547813" cy="952500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47625</xdr:colOff>
      <xdr:row>11</xdr:row>
      <xdr:rowOff>285750</xdr:rowOff>
    </xdr:from>
    <xdr:to>
      <xdr:col>43</xdr:col>
      <xdr:colOff>0</xdr:colOff>
      <xdr:row>16</xdr:row>
      <xdr:rowOff>261940</xdr:rowOff>
    </xdr:to>
    <xdr:cxnSp macro="">
      <xdr:nvCxnSpPr>
        <xdr:cNvPr id="41" name="Conector: angular 40">
          <a:extLst>
            <a:ext uri="{FF2B5EF4-FFF2-40B4-BE49-F238E27FC236}">
              <a16:creationId xmlns:a16="http://schemas.microsoft.com/office/drawing/2014/main" id="{DB8E0B92-A60A-4978-947D-C28C90193C90}"/>
            </a:ext>
          </a:extLst>
        </xdr:cNvPr>
        <xdr:cNvCxnSpPr/>
      </xdr:nvCxnSpPr>
      <xdr:spPr>
        <a:xfrm rot="10800000">
          <a:off x="31218188" y="3214688"/>
          <a:ext cx="1476375" cy="1285877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723900</xdr:colOff>
      <xdr:row>25</xdr:row>
      <xdr:rowOff>33337</xdr:rowOff>
    </xdr:from>
    <xdr:to>
      <xdr:col>42</xdr:col>
      <xdr:colOff>747713</xdr:colOff>
      <xdr:row>28</xdr:row>
      <xdr:rowOff>295275</xdr:rowOff>
    </xdr:to>
    <xdr:cxnSp macro="">
      <xdr:nvCxnSpPr>
        <xdr:cNvPr id="44" name="Conector: angular 43">
          <a:extLst>
            <a:ext uri="{FF2B5EF4-FFF2-40B4-BE49-F238E27FC236}">
              <a16:creationId xmlns:a16="http://schemas.microsoft.com/office/drawing/2014/main" id="{D1A06BBA-66B9-43A8-A458-293FE014FFA5}"/>
            </a:ext>
          </a:extLst>
        </xdr:cNvPr>
        <xdr:cNvCxnSpPr/>
      </xdr:nvCxnSpPr>
      <xdr:spPr>
        <a:xfrm rot="10800000" flipV="1">
          <a:off x="31132463" y="6819900"/>
          <a:ext cx="1547813" cy="952500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721180</xdr:colOff>
      <xdr:row>28</xdr:row>
      <xdr:rowOff>285751</xdr:rowOff>
    </xdr:from>
    <xdr:to>
      <xdr:col>42</xdr:col>
      <xdr:colOff>747715</xdr:colOff>
      <xdr:row>33</xdr:row>
      <xdr:rowOff>33344</xdr:rowOff>
    </xdr:to>
    <xdr:cxnSp macro="">
      <xdr:nvCxnSpPr>
        <xdr:cNvPr id="45" name="Conector: angular 44">
          <a:extLst>
            <a:ext uri="{FF2B5EF4-FFF2-40B4-BE49-F238E27FC236}">
              <a16:creationId xmlns:a16="http://schemas.microsoft.com/office/drawing/2014/main" id="{2C640015-ADA3-494E-81CC-A0480C5777A1}"/>
            </a:ext>
          </a:extLst>
        </xdr:cNvPr>
        <xdr:cNvCxnSpPr/>
      </xdr:nvCxnSpPr>
      <xdr:spPr>
        <a:xfrm rot="10800000">
          <a:off x="31119537" y="8776608"/>
          <a:ext cx="1550535" cy="1271593"/>
        </a:xfrm>
        <a:prstGeom prst="bentConnector3">
          <a:avLst>
            <a:gd name="adj1" fmla="val 50000"/>
          </a:avLst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3667</xdr:colOff>
      <xdr:row>16</xdr:row>
      <xdr:rowOff>18062</xdr:rowOff>
    </xdr:from>
    <xdr:to>
      <xdr:col>18</xdr:col>
      <xdr:colOff>743255</xdr:colOff>
      <xdr:row>19</xdr:row>
      <xdr:rowOff>20986</xdr:rowOff>
    </xdr:to>
    <xdr:cxnSp macro="">
      <xdr:nvCxnSpPr>
        <xdr:cNvPr id="48" name="Conector: angular 47">
          <a:extLst>
            <a:ext uri="{FF2B5EF4-FFF2-40B4-BE49-F238E27FC236}">
              <a16:creationId xmlns:a16="http://schemas.microsoft.com/office/drawing/2014/main" id="{D68D8EAB-2E18-4D89-BEB8-428EBB51BF54}"/>
            </a:ext>
          </a:extLst>
        </xdr:cNvPr>
        <xdr:cNvCxnSpPr/>
      </xdr:nvCxnSpPr>
      <xdr:spPr>
        <a:xfrm>
          <a:off x="12871076" y="4295653"/>
          <a:ext cx="1501588" cy="938106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759835</xdr:colOff>
      <xdr:row>15</xdr:row>
      <xdr:rowOff>253278</xdr:rowOff>
    </xdr:from>
    <xdr:to>
      <xdr:col>37</xdr:col>
      <xdr:colOff>21648</xdr:colOff>
      <xdr:row>18</xdr:row>
      <xdr:rowOff>277091</xdr:rowOff>
    </xdr:to>
    <xdr:cxnSp macro="">
      <xdr:nvCxnSpPr>
        <xdr:cNvPr id="49" name="Conector: angular 48">
          <a:extLst>
            <a:ext uri="{FF2B5EF4-FFF2-40B4-BE49-F238E27FC236}">
              <a16:creationId xmlns:a16="http://schemas.microsoft.com/office/drawing/2014/main" id="{860217D4-272E-4B3E-A229-59217F40904B}"/>
            </a:ext>
          </a:extLst>
        </xdr:cNvPr>
        <xdr:cNvCxnSpPr/>
      </xdr:nvCxnSpPr>
      <xdr:spPr>
        <a:xfrm rot="10800000" flipV="1">
          <a:off x="26581244" y="4219142"/>
          <a:ext cx="1547813" cy="958994"/>
        </a:xfrm>
        <a:prstGeom prst="bentConnector3">
          <a:avLst/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4329</xdr:colOff>
      <xdr:row>18</xdr:row>
      <xdr:rowOff>287916</xdr:rowOff>
    </xdr:from>
    <xdr:to>
      <xdr:col>36</xdr:col>
      <xdr:colOff>728231</xdr:colOff>
      <xdr:row>23</xdr:row>
      <xdr:rowOff>130758</xdr:rowOff>
    </xdr:to>
    <xdr:cxnSp macro="">
      <xdr:nvCxnSpPr>
        <xdr:cNvPr id="50" name="Conector: angular 49">
          <a:extLst>
            <a:ext uri="{FF2B5EF4-FFF2-40B4-BE49-F238E27FC236}">
              <a16:creationId xmlns:a16="http://schemas.microsoft.com/office/drawing/2014/main" id="{D11EB18B-600D-4748-A71E-FB9D6FE4830E}"/>
            </a:ext>
          </a:extLst>
        </xdr:cNvPr>
        <xdr:cNvCxnSpPr/>
      </xdr:nvCxnSpPr>
      <xdr:spPr>
        <a:xfrm rot="10800000">
          <a:off x="26587738" y="5188961"/>
          <a:ext cx="1485902" cy="1159024"/>
        </a:xfrm>
        <a:prstGeom prst="bentConnector3">
          <a:avLst>
            <a:gd name="adj1" fmla="val 46504"/>
          </a:avLst>
        </a:prstGeom>
        <a:ln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100854</xdr:colOff>
      <xdr:row>9</xdr:row>
      <xdr:rowOff>22412</xdr:rowOff>
    </xdr:from>
    <xdr:to>
      <xdr:col>1</xdr:col>
      <xdr:colOff>672354</xdr:colOff>
      <xdr:row>9</xdr:row>
      <xdr:rowOff>308556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A2BA0AE4-F3F0-4114-BCD3-B8749EA4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638736" y="2353236"/>
          <a:ext cx="571500" cy="286144"/>
        </a:xfrm>
        <a:prstGeom prst="rect">
          <a:avLst/>
        </a:prstGeom>
      </xdr:spPr>
    </xdr:pic>
    <xdr:clientData/>
  </xdr:twoCellAnchor>
  <xdr:twoCellAnchor editAs="oneCell">
    <xdr:from>
      <xdr:col>1</xdr:col>
      <xdr:colOff>103910</xdr:colOff>
      <xdr:row>11</xdr:row>
      <xdr:rowOff>39927</xdr:rowOff>
    </xdr:from>
    <xdr:to>
      <xdr:col>1</xdr:col>
      <xdr:colOff>658092</xdr:colOff>
      <xdr:row>11</xdr:row>
      <xdr:rowOff>316057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BF3FBDFD-F999-4A46-B78C-21185AB4C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640774" y="2689609"/>
          <a:ext cx="554182" cy="323755"/>
        </a:xfrm>
        <a:prstGeom prst="rect">
          <a:avLst/>
        </a:prstGeom>
      </xdr:spPr>
    </xdr:pic>
    <xdr:clientData/>
  </xdr:twoCellAnchor>
  <xdr:twoCellAnchor editAs="oneCell">
    <xdr:from>
      <xdr:col>1</xdr:col>
      <xdr:colOff>84394</xdr:colOff>
      <xdr:row>10</xdr:row>
      <xdr:rowOff>46926</xdr:rowOff>
    </xdr:from>
    <xdr:to>
      <xdr:col>1</xdr:col>
      <xdr:colOff>679906</xdr:colOff>
      <xdr:row>10</xdr:row>
      <xdr:rowOff>360690</xdr:rowOff>
    </xdr:to>
    <xdr:pic>
      <xdr:nvPicPr>
        <xdr:cNvPr id="1024" name="Imagen 1023">
          <a:extLst>
            <a:ext uri="{FF2B5EF4-FFF2-40B4-BE49-F238E27FC236}">
              <a16:creationId xmlns:a16="http://schemas.microsoft.com/office/drawing/2014/main" id="{5A00EFCE-6B78-4997-9C52-1C8CD39A1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626128" y="2702020"/>
          <a:ext cx="595512" cy="313764"/>
        </a:xfrm>
        <a:prstGeom prst="rect">
          <a:avLst/>
        </a:prstGeom>
      </xdr:spPr>
    </xdr:pic>
    <xdr:clientData/>
  </xdr:twoCellAnchor>
  <xdr:twoCellAnchor editAs="oneCell">
    <xdr:from>
      <xdr:col>1</xdr:col>
      <xdr:colOff>105276</xdr:colOff>
      <xdr:row>12</xdr:row>
      <xdr:rowOff>22412</xdr:rowOff>
    </xdr:from>
    <xdr:to>
      <xdr:col>1</xdr:col>
      <xdr:colOff>672353</xdr:colOff>
      <xdr:row>12</xdr:row>
      <xdr:rowOff>330271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14C8C05-742E-4DD6-88CD-A45FC2F31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646697" y="3431359"/>
          <a:ext cx="567077" cy="307859"/>
        </a:xfrm>
        <a:prstGeom prst="rect">
          <a:avLst/>
        </a:prstGeom>
      </xdr:spPr>
    </xdr:pic>
    <xdr:clientData/>
  </xdr:twoCellAnchor>
  <xdr:twoCellAnchor editAs="oneCell">
    <xdr:from>
      <xdr:col>1</xdr:col>
      <xdr:colOff>108857</xdr:colOff>
      <xdr:row>18</xdr:row>
      <xdr:rowOff>33619</xdr:rowOff>
    </xdr:from>
    <xdr:to>
      <xdr:col>1</xdr:col>
      <xdr:colOff>694765</xdr:colOff>
      <xdr:row>18</xdr:row>
      <xdr:rowOff>321247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58830D1-764E-497F-8662-70215D30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653143" y="5149905"/>
          <a:ext cx="585908" cy="287628"/>
        </a:xfrm>
        <a:prstGeom prst="rect">
          <a:avLst/>
        </a:prstGeom>
      </xdr:spPr>
    </xdr:pic>
    <xdr:clientData/>
  </xdr:twoCellAnchor>
  <xdr:twoCellAnchor editAs="oneCell">
    <xdr:from>
      <xdr:col>1</xdr:col>
      <xdr:colOff>105177</xdr:colOff>
      <xdr:row>17</xdr:row>
      <xdr:rowOff>21724</xdr:rowOff>
    </xdr:from>
    <xdr:to>
      <xdr:col>1</xdr:col>
      <xdr:colOff>697635</xdr:colOff>
      <xdr:row>17</xdr:row>
      <xdr:rowOff>331164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DD3B3BD1-AF34-4351-B673-B883B7B5C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46598" y="4794250"/>
          <a:ext cx="592458" cy="309440"/>
        </a:xfrm>
        <a:prstGeom prst="rect">
          <a:avLst/>
        </a:prstGeom>
      </xdr:spPr>
    </xdr:pic>
    <xdr:clientData/>
  </xdr:twoCellAnchor>
  <xdr:twoCellAnchor editAs="oneCell">
    <xdr:from>
      <xdr:col>1</xdr:col>
      <xdr:colOff>100852</xdr:colOff>
      <xdr:row>19</xdr:row>
      <xdr:rowOff>21232</xdr:rowOff>
    </xdr:from>
    <xdr:to>
      <xdr:col>1</xdr:col>
      <xdr:colOff>694765</xdr:colOff>
      <xdr:row>19</xdr:row>
      <xdr:rowOff>368614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BCE6F270-5C88-4E56-9645-32E0EB58F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642273" y="5495600"/>
          <a:ext cx="593913" cy="347382"/>
        </a:xfrm>
        <a:prstGeom prst="rect">
          <a:avLst/>
        </a:prstGeom>
      </xdr:spPr>
    </xdr:pic>
    <xdr:clientData/>
  </xdr:twoCellAnchor>
  <xdr:twoCellAnchor editAs="oneCell">
    <xdr:from>
      <xdr:col>1</xdr:col>
      <xdr:colOff>116382</xdr:colOff>
      <xdr:row>20</xdr:row>
      <xdr:rowOff>39121</xdr:rowOff>
    </xdr:from>
    <xdr:to>
      <xdr:col>1</xdr:col>
      <xdr:colOff>683559</xdr:colOff>
      <xdr:row>20</xdr:row>
      <xdr:rowOff>359768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28980F4F-7511-438F-995E-520FA3A07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57803" y="5904516"/>
          <a:ext cx="567177" cy="320647"/>
        </a:xfrm>
        <a:prstGeom prst="rect">
          <a:avLst/>
        </a:prstGeom>
      </xdr:spPr>
    </xdr:pic>
    <xdr:clientData/>
  </xdr:twoCellAnchor>
  <xdr:twoCellAnchor editAs="oneCell">
    <xdr:from>
      <xdr:col>1</xdr:col>
      <xdr:colOff>67235</xdr:colOff>
      <xdr:row>25</xdr:row>
      <xdr:rowOff>11206</xdr:rowOff>
    </xdr:from>
    <xdr:to>
      <xdr:col>1</xdr:col>
      <xdr:colOff>705971</xdr:colOff>
      <xdr:row>25</xdr:row>
      <xdr:rowOff>324971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A1EC0822-2675-4B26-8A00-6BFF386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05117" y="7351059"/>
          <a:ext cx="638736" cy="313765"/>
        </a:xfrm>
        <a:prstGeom prst="rect">
          <a:avLst/>
        </a:prstGeom>
      </xdr:spPr>
    </xdr:pic>
    <xdr:clientData/>
  </xdr:twoCellAnchor>
  <xdr:twoCellAnchor editAs="oneCell">
    <xdr:from>
      <xdr:col>1</xdr:col>
      <xdr:colOff>70945</xdr:colOff>
      <xdr:row>26</xdr:row>
      <xdr:rowOff>29835</xdr:rowOff>
    </xdr:from>
    <xdr:to>
      <xdr:col>1</xdr:col>
      <xdr:colOff>720887</xdr:colOff>
      <xdr:row>26</xdr:row>
      <xdr:rowOff>359950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B44F624C-81C3-4C5F-A417-72155A065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615231" y="7758692"/>
          <a:ext cx="649942" cy="330115"/>
        </a:xfrm>
        <a:prstGeom prst="rect">
          <a:avLst/>
        </a:prstGeom>
      </xdr:spPr>
    </xdr:pic>
    <xdr:clientData/>
  </xdr:twoCellAnchor>
  <xdr:twoCellAnchor editAs="oneCell">
    <xdr:from>
      <xdr:col>1</xdr:col>
      <xdr:colOff>78443</xdr:colOff>
      <xdr:row>28</xdr:row>
      <xdr:rowOff>36019</xdr:rowOff>
    </xdr:from>
    <xdr:to>
      <xdr:col>1</xdr:col>
      <xdr:colOff>694765</xdr:colOff>
      <xdr:row>28</xdr:row>
      <xdr:rowOff>372195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4778E4DB-FB56-4931-A395-A4A42918F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622729" y="8526876"/>
          <a:ext cx="616322" cy="336176"/>
        </a:xfrm>
        <a:prstGeom prst="rect">
          <a:avLst/>
        </a:prstGeom>
      </xdr:spPr>
    </xdr:pic>
    <xdr:clientData/>
  </xdr:twoCellAnchor>
  <xdr:twoCellAnchor editAs="oneCell">
    <xdr:from>
      <xdr:col>1</xdr:col>
      <xdr:colOff>54428</xdr:colOff>
      <xdr:row>33</xdr:row>
      <xdr:rowOff>30796</xdr:rowOff>
    </xdr:from>
    <xdr:to>
      <xdr:col>1</xdr:col>
      <xdr:colOff>680356</xdr:colOff>
      <xdr:row>33</xdr:row>
      <xdr:rowOff>357368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B7EFDE78-063D-4771-9FB6-6E855CFBD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595849" y="10067138"/>
          <a:ext cx="625928" cy="326572"/>
        </a:xfrm>
        <a:prstGeom prst="rect">
          <a:avLst/>
        </a:prstGeom>
      </xdr:spPr>
    </xdr:pic>
    <xdr:clientData/>
  </xdr:twoCellAnchor>
  <xdr:twoCellAnchor editAs="oneCell">
    <xdr:from>
      <xdr:col>1</xdr:col>
      <xdr:colOff>67236</xdr:colOff>
      <xdr:row>34</xdr:row>
      <xdr:rowOff>24772</xdr:rowOff>
    </xdr:from>
    <xdr:to>
      <xdr:col>1</xdr:col>
      <xdr:colOff>705971</xdr:colOff>
      <xdr:row>34</xdr:row>
      <xdr:rowOff>383360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C0B0E268-3AE1-49D6-B4CA-BA50BBD44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08657" y="10442114"/>
          <a:ext cx="638735" cy="358588"/>
        </a:xfrm>
        <a:prstGeom prst="rect">
          <a:avLst/>
        </a:prstGeom>
      </xdr:spPr>
    </xdr:pic>
    <xdr:clientData/>
  </xdr:twoCellAnchor>
  <xdr:twoCellAnchor editAs="oneCell">
    <xdr:from>
      <xdr:col>1</xdr:col>
      <xdr:colOff>67236</xdr:colOff>
      <xdr:row>35</xdr:row>
      <xdr:rowOff>24771</xdr:rowOff>
    </xdr:from>
    <xdr:to>
      <xdr:col>1</xdr:col>
      <xdr:colOff>684307</xdr:colOff>
      <xdr:row>35</xdr:row>
      <xdr:rowOff>338536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D7367F47-2CD0-4313-9AC6-3BDB216B3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608657" y="10853192"/>
          <a:ext cx="617071" cy="313765"/>
        </a:xfrm>
        <a:prstGeom prst="rect">
          <a:avLst/>
        </a:prstGeom>
      </xdr:spPr>
    </xdr:pic>
    <xdr:clientData/>
  </xdr:twoCellAnchor>
  <xdr:twoCellAnchor editAs="oneCell">
    <xdr:from>
      <xdr:col>1</xdr:col>
      <xdr:colOff>67236</xdr:colOff>
      <xdr:row>36</xdr:row>
      <xdr:rowOff>34799</xdr:rowOff>
    </xdr:from>
    <xdr:to>
      <xdr:col>1</xdr:col>
      <xdr:colOff>672353</xdr:colOff>
      <xdr:row>36</xdr:row>
      <xdr:rowOff>348563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B4B5ABA5-CEBB-4884-AB67-16CBA07C9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608657" y="11234194"/>
          <a:ext cx="605117" cy="313764"/>
        </a:xfrm>
        <a:prstGeom prst="rect">
          <a:avLst/>
        </a:prstGeom>
      </xdr:spPr>
    </xdr:pic>
    <xdr:clientData/>
  </xdr:twoCellAnchor>
  <xdr:twoCellAnchor editAs="oneCell">
    <xdr:from>
      <xdr:col>50</xdr:col>
      <xdr:colOff>114301</xdr:colOff>
      <xdr:row>9</xdr:row>
      <xdr:rowOff>5783</xdr:rowOff>
    </xdr:from>
    <xdr:to>
      <xdr:col>50</xdr:col>
      <xdr:colOff>666751</xdr:colOff>
      <xdr:row>9</xdr:row>
      <xdr:rowOff>304801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93A215AD-6910-4F8D-AE6C-69BA0D5DA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3"/>
            </a:ext>
          </a:extLst>
        </a:blip>
        <a:stretch>
          <a:fillRect/>
        </a:stretch>
      </xdr:blipFill>
      <xdr:spPr>
        <a:xfrm>
          <a:off x="38142864" y="2315596"/>
          <a:ext cx="552450" cy="299018"/>
        </a:xfrm>
        <a:prstGeom prst="rect">
          <a:avLst/>
        </a:prstGeom>
      </xdr:spPr>
    </xdr:pic>
    <xdr:clientData/>
  </xdr:twoCellAnchor>
  <xdr:twoCellAnchor editAs="oneCell">
    <xdr:from>
      <xdr:col>50</xdr:col>
      <xdr:colOff>123825</xdr:colOff>
      <xdr:row>10</xdr:row>
      <xdr:rowOff>38101</xdr:rowOff>
    </xdr:from>
    <xdr:to>
      <xdr:col>50</xdr:col>
      <xdr:colOff>676275</xdr:colOff>
      <xdr:row>10</xdr:row>
      <xdr:rowOff>381001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C5D125D2-A28F-4739-ACD9-E9AC9C779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5"/>
            </a:ext>
          </a:extLst>
        </a:blip>
        <a:stretch>
          <a:fillRect/>
        </a:stretch>
      </xdr:blipFill>
      <xdr:spPr>
        <a:xfrm>
          <a:off x="38138100" y="2686051"/>
          <a:ext cx="552450" cy="342900"/>
        </a:xfrm>
        <a:prstGeom prst="rect">
          <a:avLst/>
        </a:prstGeom>
      </xdr:spPr>
    </xdr:pic>
    <xdr:clientData/>
  </xdr:twoCellAnchor>
  <xdr:twoCellAnchor editAs="oneCell">
    <xdr:from>
      <xdr:col>50</xdr:col>
      <xdr:colOff>114301</xdr:colOff>
      <xdr:row>11</xdr:row>
      <xdr:rowOff>19051</xdr:rowOff>
    </xdr:from>
    <xdr:to>
      <xdr:col>50</xdr:col>
      <xdr:colOff>666751</xdr:colOff>
      <xdr:row>11</xdr:row>
      <xdr:rowOff>336030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36A9647B-3A8C-45B9-B559-C8707331D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7"/>
            </a:ext>
          </a:extLst>
        </a:blip>
        <a:stretch>
          <a:fillRect/>
        </a:stretch>
      </xdr:blipFill>
      <xdr:spPr>
        <a:xfrm>
          <a:off x="38128576" y="3067051"/>
          <a:ext cx="552450" cy="316979"/>
        </a:xfrm>
        <a:prstGeom prst="rect">
          <a:avLst/>
        </a:prstGeom>
      </xdr:spPr>
    </xdr:pic>
    <xdr:clientData/>
  </xdr:twoCellAnchor>
  <xdr:twoCellAnchor editAs="oneCell">
    <xdr:from>
      <xdr:col>50</xdr:col>
      <xdr:colOff>114300</xdr:colOff>
      <xdr:row>12</xdr:row>
      <xdr:rowOff>38100</xdr:rowOff>
    </xdr:from>
    <xdr:to>
      <xdr:col>50</xdr:col>
      <xdr:colOff>676275</xdr:colOff>
      <xdr:row>13</xdr:row>
      <xdr:rowOff>19050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AC144CD4-8954-4A1A-8CCA-B431834A8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9"/>
            </a:ext>
          </a:extLst>
        </a:blip>
        <a:stretch>
          <a:fillRect/>
        </a:stretch>
      </xdr:blipFill>
      <xdr:spPr>
        <a:xfrm>
          <a:off x="38128575" y="3438525"/>
          <a:ext cx="561975" cy="333375"/>
        </a:xfrm>
        <a:prstGeom prst="rect">
          <a:avLst/>
        </a:prstGeom>
      </xdr:spPr>
    </xdr:pic>
    <xdr:clientData/>
  </xdr:twoCellAnchor>
  <xdr:twoCellAnchor editAs="oneCell">
    <xdr:from>
      <xdr:col>50</xdr:col>
      <xdr:colOff>110290</xdr:colOff>
      <xdr:row>17</xdr:row>
      <xdr:rowOff>15040</xdr:rowOff>
    </xdr:from>
    <xdr:to>
      <xdr:col>50</xdr:col>
      <xdr:colOff>668482</xdr:colOff>
      <xdr:row>17</xdr:row>
      <xdr:rowOff>342900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BD3DF49B-AF43-414D-9091-916AD1661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1"/>
            </a:ext>
          </a:extLst>
        </a:blip>
        <a:stretch>
          <a:fillRect/>
        </a:stretch>
      </xdr:blipFill>
      <xdr:spPr>
        <a:xfrm>
          <a:off x="38125066" y="4787566"/>
          <a:ext cx="558192" cy="327860"/>
        </a:xfrm>
        <a:prstGeom prst="rect">
          <a:avLst/>
        </a:prstGeom>
      </xdr:spPr>
    </xdr:pic>
    <xdr:clientData/>
  </xdr:twoCellAnchor>
  <xdr:twoCellAnchor editAs="oneCell">
    <xdr:from>
      <xdr:col>50</xdr:col>
      <xdr:colOff>113800</xdr:colOff>
      <xdr:row>19</xdr:row>
      <xdr:rowOff>19050</xdr:rowOff>
    </xdr:from>
    <xdr:to>
      <xdr:col>50</xdr:col>
      <xdr:colOff>676778</xdr:colOff>
      <xdr:row>19</xdr:row>
      <xdr:rowOff>371475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A3961FB9-A521-434E-90E2-A0219021D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3"/>
            </a:ext>
          </a:extLst>
        </a:blip>
        <a:stretch>
          <a:fillRect/>
        </a:stretch>
      </xdr:blipFill>
      <xdr:spPr>
        <a:xfrm>
          <a:off x="38128576" y="5493418"/>
          <a:ext cx="562978" cy="352425"/>
        </a:xfrm>
        <a:prstGeom prst="rect">
          <a:avLst/>
        </a:prstGeom>
      </xdr:spPr>
    </xdr:pic>
    <xdr:clientData/>
  </xdr:twoCellAnchor>
  <xdr:twoCellAnchor editAs="oneCell">
    <xdr:from>
      <xdr:col>50</xdr:col>
      <xdr:colOff>108787</xdr:colOff>
      <xdr:row>20</xdr:row>
      <xdr:rowOff>23562</xdr:rowOff>
    </xdr:from>
    <xdr:to>
      <xdr:col>50</xdr:col>
      <xdr:colOff>674831</xdr:colOff>
      <xdr:row>20</xdr:row>
      <xdr:rowOff>370973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24BE67F-3D6C-4265-8E06-76F7F2552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5"/>
            </a:ext>
          </a:extLst>
        </a:blip>
        <a:stretch>
          <a:fillRect/>
        </a:stretch>
      </xdr:blipFill>
      <xdr:spPr>
        <a:xfrm>
          <a:off x="38123563" y="5888957"/>
          <a:ext cx="566044" cy="347411"/>
        </a:xfrm>
        <a:prstGeom prst="rect">
          <a:avLst/>
        </a:prstGeom>
      </xdr:spPr>
    </xdr:pic>
    <xdr:clientData/>
  </xdr:twoCellAnchor>
  <xdr:twoCellAnchor editAs="oneCell">
    <xdr:from>
      <xdr:col>50</xdr:col>
      <xdr:colOff>95250</xdr:colOff>
      <xdr:row>25</xdr:row>
      <xdr:rowOff>14447</xdr:rowOff>
    </xdr:from>
    <xdr:to>
      <xdr:col>50</xdr:col>
      <xdr:colOff>671764</xdr:colOff>
      <xdr:row>25</xdr:row>
      <xdr:rowOff>330868</xdr:rowOff>
    </xdr:to>
    <xdr:pic>
      <xdr:nvPicPr>
        <xdr:cNvPr id="1122" name="Imagen 1121">
          <a:extLst>
            <a:ext uri="{FF2B5EF4-FFF2-40B4-BE49-F238E27FC236}">
              <a16:creationId xmlns:a16="http://schemas.microsoft.com/office/drawing/2014/main" id="{9F7AC7B3-5F92-44ED-B4E1-D6C333397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7"/>
            </a:ext>
          </a:extLst>
        </a:blip>
        <a:stretch>
          <a:fillRect/>
        </a:stretch>
      </xdr:blipFill>
      <xdr:spPr>
        <a:xfrm>
          <a:off x="38110026" y="7408855"/>
          <a:ext cx="576514" cy="316421"/>
        </a:xfrm>
        <a:prstGeom prst="rect">
          <a:avLst/>
        </a:prstGeom>
      </xdr:spPr>
    </xdr:pic>
    <xdr:clientData/>
  </xdr:twoCellAnchor>
  <xdr:twoCellAnchor editAs="oneCell">
    <xdr:from>
      <xdr:col>50</xdr:col>
      <xdr:colOff>80212</xdr:colOff>
      <xdr:row>26</xdr:row>
      <xdr:rowOff>27574</xdr:rowOff>
    </xdr:from>
    <xdr:to>
      <xdr:col>50</xdr:col>
      <xdr:colOff>673934</xdr:colOff>
      <xdr:row>26</xdr:row>
      <xdr:rowOff>351423</xdr:rowOff>
    </xdr:to>
    <xdr:pic>
      <xdr:nvPicPr>
        <xdr:cNvPr id="1125" name="Imagen 1124">
          <a:extLst>
            <a:ext uri="{FF2B5EF4-FFF2-40B4-BE49-F238E27FC236}">
              <a16:creationId xmlns:a16="http://schemas.microsoft.com/office/drawing/2014/main" id="{4029D8AC-EF86-4ECA-ACA1-595E6FFD2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9"/>
            </a:ext>
          </a:extLst>
        </a:blip>
        <a:stretch>
          <a:fillRect/>
        </a:stretch>
      </xdr:blipFill>
      <xdr:spPr>
        <a:xfrm>
          <a:off x="38094988" y="7762877"/>
          <a:ext cx="593722" cy="323849"/>
        </a:xfrm>
        <a:prstGeom prst="rect">
          <a:avLst/>
        </a:prstGeom>
      </xdr:spPr>
    </xdr:pic>
    <xdr:clientData/>
  </xdr:twoCellAnchor>
  <xdr:twoCellAnchor editAs="oneCell">
    <xdr:from>
      <xdr:col>50</xdr:col>
      <xdr:colOff>80211</xdr:colOff>
      <xdr:row>27</xdr:row>
      <xdr:rowOff>22622</xdr:rowOff>
    </xdr:from>
    <xdr:to>
      <xdr:col>50</xdr:col>
      <xdr:colOff>680286</xdr:colOff>
      <xdr:row>27</xdr:row>
      <xdr:rowOff>371475</xdr:rowOff>
    </xdr:to>
    <xdr:pic>
      <xdr:nvPicPr>
        <xdr:cNvPr id="1128" name="Imagen 1127">
          <a:extLst>
            <a:ext uri="{FF2B5EF4-FFF2-40B4-BE49-F238E27FC236}">
              <a16:creationId xmlns:a16="http://schemas.microsoft.com/office/drawing/2014/main" id="{D3A85675-9296-462E-AB4A-5A1576F34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1"/>
            </a:ext>
          </a:extLst>
        </a:blip>
        <a:stretch>
          <a:fillRect/>
        </a:stretch>
      </xdr:blipFill>
      <xdr:spPr>
        <a:xfrm>
          <a:off x="38094987" y="8138925"/>
          <a:ext cx="600075" cy="348853"/>
        </a:xfrm>
        <a:prstGeom prst="rect">
          <a:avLst/>
        </a:prstGeom>
      </xdr:spPr>
    </xdr:pic>
    <xdr:clientData/>
  </xdr:twoCellAnchor>
  <xdr:twoCellAnchor editAs="oneCell">
    <xdr:from>
      <xdr:col>50</xdr:col>
      <xdr:colOff>79710</xdr:colOff>
      <xdr:row>28</xdr:row>
      <xdr:rowOff>42112</xdr:rowOff>
    </xdr:from>
    <xdr:to>
      <xdr:col>50</xdr:col>
      <xdr:colOff>670260</xdr:colOff>
      <xdr:row>28</xdr:row>
      <xdr:rowOff>365961</xdr:rowOff>
    </xdr:to>
    <xdr:pic>
      <xdr:nvPicPr>
        <xdr:cNvPr id="1130" name="Imagen 1129">
          <a:extLst>
            <a:ext uri="{FF2B5EF4-FFF2-40B4-BE49-F238E27FC236}">
              <a16:creationId xmlns:a16="http://schemas.microsoft.com/office/drawing/2014/main" id="{DC9EEEBD-8885-4071-ADFF-443269A93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3"/>
            </a:ext>
          </a:extLst>
        </a:blip>
        <a:stretch>
          <a:fillRect/>
        </a:stretch>
      </xdr:blipFill>
      <xdr:spPr>
        <a:xfrm>
          <a:off x="38094486" y="8539415"/>
          <a:ext cx="590550" cy="323849"/>
        </a:xfrm>
        <a:prstGeom prst="rect">
          <a:avLst/>
        </a:prstGeom>
      </xdr:spPr>
    </xdr:pic>
    <xdr:clientData/>
  </xdr:twoCellAnchor>
  <xdr:twoCellAnchor editAs="oneCell">
    <xdr:from>
      <xdr:col>50</xdr:col>
      <xdr:colOff>92423</xdr:colOff>
      <xdr:row>33</xdr:row>
      <xdr:rowOff>19551</xdr:rowOff>
    </xdr:from>
    <xdr:to>
      <xdr:col>50</xdr:col>
      <xdr:colOff>695324</xdr:colOff>
      <xdr:row>33</xdr:row>
      <xdr:rowOff>362451</xdr:rowOff>
    </xdr:to>
    <xdr:pic>
      <xdr:nvPicPr>
        <xdr:cNvPr id="1133" name="Imagen 1132">
          <a:extLst>
            <a:ext uri="{FF2B5EF4-FFF2-40B4-BE49-F238E27FC236}">
              <a16:creationId xmlns:a16="http://schemas.microsoft.com/office/drawing/2014/main" id="{978266E5-1C43-43A8-9650-3A0F4C988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5"/>
            </a:ext>
          </a:extLst>
        </a:blip>
        <a:stretch>
          <a:fillRect/>
        </a:stretch>
      </xdr:blipFill>
      <xdr:spPr>
        <a:xfrm>
          <a:off x="38107199" y="10055893"/>
          <a:ext cx="602901" cy="3429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104274</xdr:colOff>
      <xdr:row>34</xdr:row>
      <xdr:rowOff>28074</xdr:rowOff>
    </xdr:from>
    <xdr:to>
      <xdr:col>50</xdr:col>
      <xdr:colOff>694824</xdr:colOff>
      <xdr:row>34</xdr:row>
      <xdr:rowOff>380499</xdr:rowOff>
    </xdr:to>
    <xdr:pic>
      <xdr:nvPicPr>
        <xdr:cNvPr id="1136" name="Imagen 1135">
          <a:extLst>
            <a:ext uri="{FF2B5EF4-FFF2-40B4-BE49-F238E27FC236}">
              <a16:creationId xmlns:a16="http://schemas.microsoft.com/office/drawing/2014/main" id="{4F36A2C9-80B3-4950-BA9A-246D5A5EE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7"/>
            </a:ext>
          </a:extLst>
        </a:blip>
        <a:stretch>
          <a:fillRect/>
        </a:stretch>
      </xdr:blipFill>
      <xdr:spPr>
        <a:xfrm>
          <a:off x="38119050" y="10445416"/>
          <a:ext cx="590550" cy="352425"/>
        </a:xfrm>
        <a:prstGeom prst="rect">
          <a:avLst/>
        </a:prstGeom>
      </xdr:spPr>
    </xdr:pic>
    <xdr:clientData/>
  </xdr:twoCellAnchor>
  <xdr:twoCellAnchor editAs="oneCell">
    <xdr:from>
      <xdr:col>50</xdr:col>
      <xdr:colOff>114300</xdr:colOff>
      <xdr:row>35</xdr:row>
      <xdr:rowOff>28576</xdr:rowOff>
    </xdr:from>
    <xdr:to>
      <xdr:col>50</xdr:col>
      <xdr:colOff>704849</xdr:colOff>
      <xdr:row>35</xdr:row>
      <xdr:rowOff>342900</xdr:rowOff>
    </xdr:to>
    <xdr:pic>
      <xdr:nvPicPr>
        <xdr:cNvPr id="1139" name="Imagen 1138">
          <a:extLst>
            <a:ext uri="{FF2B5EF4-FFF2-40B4-BE49-F238E27FC236}">
              <a16:creationId xmlns:a16="http://schemas.microsoft.com/office/drawing/2014/main" id="{5AEE56EF-675D-47D5-B66C-280AD360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9"/>
            </a:ext>
          </a:extLst>
        </a:blip>
        <a:stretch>
          <a:fillRect/>
        </a:stretch>
      </xdr:blipFill>
      <xdr:spPr>
        <a:xfrm>
          <a:off x="38128575" y="10839451"/>
          <a:ext cx="590549" cy="314324"/>
        </a:xfrm>
        <a:prstGeom prst="rect">
          <a:avLst/>
        </a:prstGeom>
      </xdr:spPr>
    </xdr:pic>
    <xdr:clientData/>
  </xdr:twoCellAnchor>
  <xdr:twoCellAnchor editAs="oneCell">
    <xdr:from>
      <xdr:col>50</xdr:col>
      <xdr:colOff>104775</xdr:colOff>
      <xdr:row>36</xdr:row>
      <xdr:rowOff>47124</xdr:rowOff>
    </xdr:from>
    <xdr:to>
      <xdr:col>50</xdr:col>
      <xdr:colOff>695325</xdr:colOff>
      <xdr:row>36</xdr:row>
      <xdr:rowOff>351924</xdr:rowOff>
    </xdr:to>
    <xdr:pic>
      <xdr:nvPicPr>
        <xdr:cNvPr id="1142" name="Imagen 1141">
          <a:extLst>
            <a:ext uri="{FF2B5EF4-FFF2-40B4-BE49-F238E27FC236}">
              <a16:creationId xmlns:a16="http://schemas.microsoft.com/office/drawing/2014/main" id="{0BD1DB73-1D91-403E-9C5A-607FB63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1"/>
            </a:ext>
          </a:extLst>
        </a:blip>
        <a:stretch>
          <a:fillRect/>
        </a:stretch>
      </xdr:blipFill>
      <xdr:spPr>
        <a:xfrm>
          <a:off x="38119551" y="11246519"/>
          <a:ext cx="590550" cy="304800"/>
        </a:xfrm>
        <a:prstGeom prst="rect">
          <a:avLst/>
        </a:prstGeom>
      </xdr:spPr>
    </xdr:pic>
    <xdr:clientData/>
  </xdr:twoCellAnchor>
  <xdr:twoCellAnchor editAs="oneCell">
    <xdr:from>
      <xdr:col>1</xdr:col>
      <xdr:colOff>81643</xdr:colOff>
      <xdr:row>27</xdr:row>
      <xdr:rowOff>40822</xdr:rowOff>
    </xdr:from>
    <xdr:to>
      <xdr:col>1</xdr:col>
      <xdr:colOff>709172</xdr:colOff>
      <xdr:row>27</xdr:row>
      <xdr:rowOff>353514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59E08ED5-4275-4AFA-80F7-0B3ECD444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3"/>
            </a:ext>
          </a:extLst>
        </a:blip>
        <a:stretch>
          <a:fillRect/>
        </a:stretch>
      </xdr:blipFill>
      <xdr:spPr>
        <a:xfrm>
          <a:off x="625929" y="7769679"/>
          <a:ext cx="627529" cy="312692"/>
        </a:xfrm>
        <a:prstGeom prst="rect">
          <a:avLst/>
        </a:prstGeom>
      </xdr:spPr>
    </xdr:pic>
    <xdr:clientData/>
  </xdr:twoCellAnchor>
  <xdr:twoCellAnchor editAs="oneCell">
    <xdr:from>
      <xdr:col>24</xdr:col>
      <xdr:colOff>60231</xdr:colOff>
      <xdr:row>27</xdr:row>
      <xdr:rowOff>208710</xdr:rowOff>
    </xdr:from>
    <xdr:to>
      <xdr:col>29</xdr:col>
      <xdr:colOff>687045</xdr:colOff>
      <xdr:row>33</xdr:row>
      <xdr:rowOff>314932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2A2DD2E5-6B13-4ACA-A58B-F2055207A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58584" y="8299357"/>
          <a:ext cx="4436814" cy="2022428"/>
        </a:xfrm>
        <a:prstGeom prst="rect">
          <a:avLst/>
        </a:prstGeom>
        <a:solidFill>
          <a:srgbClr val="990033"/>
        </a:solidFill>
      </xdr:spPr>
    </xdr:pic>
    <xdr:clientData/>
  </xdr:twoCellAnchor>
  <xdr:twoCellAnchor editAs="oneCell">
    <xdr:from>
      <xdr:col>50</xdr:col>
      <xdr:colOff>121226</xdr:colOff>
      <xdr:row>18</xdr:row>
      <xdr:rowOff>14585</xdr:rowOff>
    </xdr:from>
    <xdr:to>
      <xdr:col>50</xdr:col>
      <xdr:colOff>676777</xdr:colOff>
      <xdr:row>18</xdr:row>
      <xdr:rowOff>336930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BA47369-C8E1-43C9-9B65-D3F09E352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5"/>
            </a:ext>
          </a:extLst>
        </a:blip>
        <a:stretch>
          <a:fillRect/>
        </a:stretch>
      </xdr:blipFill>
      <xdr:spPr>
        <a:xfrm>
          <a:off x="38136002" y="5138032"/>
          <a:ext cx="555551" cy="3223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166E4-B910-4919-886F-5E6EE5F56845}">
  <sheetPr codeName="Hoja1"/>
  <dimension ref="A1:BB38"/>
  <sheetViews>
    <sheetView tabSelected="1" topLeftCell="I1" zoomScale="55" zoomScaleNormal="55" workbookViewId="0">
      <selection activeCell="Z12" sqref="Z12:AA12"/>
    </sheetView>
  </sheetViews>
  <sheetFormatPr baseColWidth="10" defaultColWidth="0" defaultRowHeight="15" zeroHeight="1" x14ac:dyDescent="0.25"/>
  <cols>
    <col min="1" max="1" width="8.140625" style="11" bestFit="1" customWidth="1"/>
    <col min="2" max="2" width="11.42578125" style="11" bestFit="1" customWidth="1"/>
    <col min="3" max="3" width="13.42578125" style="11" bestFit="1" customWidth="1"/>
    <col min="4" max="54" width="11.42578125" style="11" customWidth="1"/>
    <col min="55" max="16384" width="11.42578125" hidden="1"/>
  </cols>
  <sheetData>
    <row r="1" spans="1:54" ht="15" customHeight="1" x14ac:dyDescent="0.25">
      <c r="A1" s="36" t="s">
        <v>52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8"/>
    </row>
    <row r="2" spans="1:54" x14ac:dyDescent="0.25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1"/>
    </row>
    <row r="3" spans="1:54" ht="15.75" thickBot="1" x14ac:dyDescent="0.3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4"/>
    </row>
    <row r="4" spans="1:54" ht="33.75" x14ac:dyDescent="0.6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4"/>
    </row>
    <row r="5" spans="1:54" s="1" customFormat="1" ht="24.75" x14ac:dyDescent="0.25">
      <c r="A5" s="33" t="s">
        <v>44</v>
      </c>
      <c r="B5" s="34"/>
      <c r="C5" s="34"/>
      <c r="D5" s="34"/>
      <c r="E5" s="35"/>
      <c r="F5" s="5"/>
      <c r="G5" s="5"/>
      <c r="H5" s="33" t="s">
        <v>45</v>
      </c>
      <c r="I5" s="34"/>
      <c r="J5" s="34"/>
      <c r="K5" s="35"/>
      <c r="L5" s="5"/>
      <c r="M5" s="5"/>
      <c r="N5" s="33" t="s">
        <v>46</v>
      </c>
      <c r="O5" s="34"/>
      <c r="P5" s="34"/>
      <c r="Q5" s="35"/>
      <c r="R5" s="5"/>
      <c r="S5" s="5"/>
      <c r="T5" s="33" t="s">
        <v>47</v>
      </c>
      <c r="U5" s="34"/>
      <c r="V5" s="34"/>
      <c r="W5" s="35"/>
      <c r="X5" s="5"/>
      <c r="Y5" s="5"/>
      <c r="Z5" s="6"/>
      <c r="AA5" s="6"/>
      <c r="AB5" s="6"/>
      <c r="AC5" s="6"/>
      <c r="AD5" s="5"/>
      <c r="AE5" s="5"/>
      <c r="AF5" s="33" t="s">
        <v>47</v>
      </c>
      <c r="AG5" s="34"/>
      <c r="AH5" s="34"/>
      <c r="AI5" s="35"/>
      <c r="AJ5" s="5"/>
      <c r="AK5" s="5"/>
      <c r="AL5" s="33" t="s">
        <v>46</v>
      </c>
      <c r="AM5" s="34"/>
      <c r="AN5" s="34"/>
      <c r="AO5" s="35"/>
      <c r="AP5" s="5"/>
      <c r="AQ5" s="5"/>
      <c r="AR5" s="33" t="s">
        <v>45</v>
      </c>
      <c r="AS5" s="34"/>
      <c r="AT5" s="34"/>
      <c r="AU5" s="35"/>
      <c r="AV5" s="5"/>
      <c r="AW5" s="5"/>
      <c r="AX5" s="33" t="s">
        <v>44</v>
      </c>
      <c r="AY5" s="34"/>
      <c r="AZ5" s="34"/>
      <c r="BA5" s="34"/>
      <c r="BB5" s="35"/>
    </row>
    <row r="6" spans="1:54" s="1" customFormat="1" x14ac:dyDescent="0.25">
      <c r="A6" s="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8"/>
    </row>
    <row r="7" spans="1:54" s="1" customFormat="1" x14ac:dyDescent="0.25">
      <c r="A7" s="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8"/>
    </row>
    <row r="8" spans="1:54" ht="24.75" x14ac:dyDescent="0.5">
      <c r="A8" s="30" t="s">
        <v>0</v>
      </c>
      <c r="B8" s="31"/>
      <c r="C8" s="31"/>
      <c r="D8" s="31"/>
      <c r="E8" s="32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30" t="s">
        <v>24</v>
      </c>
      <c r="AY8" s="31"/>
      <c r="AZ8" s="31"/>
      <c r="BA8" s="31"/>
      <c r="BB8" s="32"/>
    </row>
    <row r="9" spans="1:54" s="16" customFormat="1" ht="24.75" x14ac:dyDescent="0.5">
      <c r="A9" s="17" t="s">
        <v>1</v>
      </c>
      <c r="B9" s="18" t="s">
        <v>50</v>
      </c>
      <c r="C9" s="19" t="s">
        <v>2</v>
      </c>
      <c r="D9" s="19" t="s">
        <v>4</v>
      </c>
      <c r="E9" s="19" t="s">
        <v>3</v>
      </c>
      <c r="F9" s="9"/>
      <c r="G9" s="9"/>
      <c r="H9" s="23" t="str">
        <f>C18</f>
        <v>Iran</v>
      </c>
      <c r="I9" s="24"/>
      <c r="J9" s="25"/>
      <c r="K9" s="25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23" t="str">
        <f>C10</f>
        <v>Qatar</v>
      </c>
      <c r="AS9" s="24"/>
      <c r="AT9" s="25"/>
      <c r="AU9" s="25"/>
      <c r="AV9" s="9"/>
      <c r="AW9" s="9"/>
      <c r="AX9" s="19" t="s">
        <v>1</v>
      </c>
      <c r="AY9" s="18" t="s">
        <v>50</v>
      </c>
      <c r="AZ9" s="19" t="s">
        <v>2</v>
      </c>
      <c r="BA9" s="19" t="s">
        <v>4</v>
      </c>
      <c r="BB9" s="20" t="s">
        <v>3</v>
      </c>
    </row>
    <row r="10" spans="1:54" ht="24.75" x14ac:dyDescent="0.5">
      <c r="A10" s="13">
        <v>1</v>
      </c>
      <c r="B10" s="14"/>
      <c r="C10" s="15" t="s">
        <v>5</v>
      </c>
      <c r="D10" s="15"/>
      <c r="E10" s="21"/>
      <c r="F10" s="9"/>
      <c r="G10" s="9"/>
      <c r="H10" s="23" t="str">
        <f>C11</f>
        <v>Senegal</v>
      </c>
      <c r="I10" s="24"/>
      <c r="J10" s="25"/>
      <c r="K10" s="25"/>
      <c r="L10" s="9"/>
      <c r="M10" s="9"/>
      <c r="R10" s="9"/>
      <c r="S10" s="9"/>
      <c r="T10" s="9"/>
      <c r="U10" s="9"/>
      <c r="V10" s="9"/>
      <c r="W10" s="9"/>
      <c r="X10" s="9"/>
      <c r="Y10" s="9"/>
      <c r="Z10" s="27" t="s">
        <v>48</v>
      </c>
      <c r="AA10" s="28"/>
      <c r="AB10" s="28"/>
      <c r="AC10" s="29"/>
      <c r="AD10" s="9"/>
      <c r="AE10" s="9"/>
      <c r="AF10" s="9"/>
      <c r="AG10" s="9"/>
      <c r="AH10" s="9"/>
      <c r="AI10" s="9"/>
      <c r="AJ10" s="9"/>
      <c r="AK10" s="9"/>
      <c r="AP10" s="9"/>
      <c r="AQ10" s="9"/>
      <c r="AR10" s="23" t="str">
        <f>C19</f>
        <v>Inglaterra</v>
      </c>
      <c r="AS10" s="24"/>
      <c r="AT10" s="25"/>
      <c r="AU10" s="25"/>
      <c r="AV10" s="9"/>
      <c r="AW10" s="9"/>
      <c r="AX10" s="15">
        <v>1</v>
      </c>
      <c r="AY10" s="15"/>
      <c r="AZ10" s="15" t="s">
        <v>28</v>
      </c>
      <c r="BA10" s="15"/>
      <c r="BB10" s="22"/>
    </row>
    <row r="11" spans="1:54" ht="31.5" customHeight="1" x14ac:dyDescent="0.5">
      <c r="A11" s="13">
        <v>2</v>
      </c>
      <c r="B11" s="14"/>
      <c r="C11" s="15" t="s">
        <v>7</v>
      </c>
      <c r="D11" s="15"/>
      <c r="E11" s="21"/>
      <c r="F11" s="9"/>
      <c r="G11" s="9"/>
      <c r="H11" s="9"/>
      <c r="I11" s="9"/>
      <c r="J11" s="9"/>
      <c r="K11" s="9"/>
      <c r="L11" s="9"/>
      <c r="M11" s="9"/>
      <c r="R11" s="9"/>
      <c r="S11" s="9"/>
      <c r="T11" s="9"/>
      <c r="U11" s="9"/>
      <c r="V11" s="9"/>
      <c r="W11" s="9"/>
      <c r="X11" s="9"/>
      <c r="Y11" s="9"/>
      <c r="Z11" s="23" t="str">
        <f>IF(V19&gt;V20,T19,IF(V20&gt;V19,T20,"-"))</f>
        <v>-</v>
      </c>
      <c r="AA11" s="24"/>
      <c r="AB11" s="25"/>
      <c r="AC11" s="25"/>
      <c r="AD11" s="9"/>
      <c r="AE11" s="9"/>
      <c r="AF11" s="9"/>
      <c r="AG11" s="9"/>
      <c r="AH11" s="9"/>
      <c r="AI11" s="9"/>
      <c r="AJ11" s="9"/>
      <c r="AK11" s="9"/>
      <c r="AP11" s="9"/>
      <c r="AQ11" s="9"/>
      <c r="AR11" s="9"/>
      <c r="AS11" s="9"/>
      <c r="AT11" s="9"/>
      <c r="AU11" s="9"/>
      <c r="AV11" s="9"/>
      <c r="AW11" s="9"/>
      <c r="AX11" s="15">
        <v>2</v>
      </c>
      <c r="AY11" s="15"/>
      <c r="AZ11" s="15" t="s">
        <v>29</v>
      </c>
      <c r="BA11" s="15"/>
      <c r="BB11" s="22"/>
    </row>
    <row r="12" spans="1:54" ht="27.75" customHeight="1" x14ac:dyDescent="0.5">
      <c r="A12" s="13">
        <v>3</v>
      </c>
      <c r="B12" s="14"/>
      <c r="C12" s="15" t="s">
        <v>6</v>
      </c>
      <c r="D12" s="15"/>
      <c r="E12" s="21"/>
      <c r="F12" s="9"/>
      <c r="G12" s="9"/>
      <c r="H12" s="9"/>
      <c r="I12" s="9"/>
      <c r="J12" s="9"/>
      <c r="K12" s="9"/>
      <c r="L12" s="9"/>
      <c r="M12" s="9"/>
      <c r="N12" s="23" t="str">
        <f>IF(J9&gt;J10,H9,IF(J10&gt;J9,H10,"-"))</f>
        <v>-</v>
      </c>
      <c r="O12" s="24"/>
      <c r="P12" s="25"/>
      <c r="Q12" s="25"/>
      <c r="R12" s="9"/>
      <c r="S12" s="9"/>
      <c r="T12" s="9"/>
      <c r="U12" s="9"/>
      <c r="V12" s="9"/>
      <c r="W12" s="9"/>
      <c r="X12" s="9"/>
      <c r="Y12" s="9"/>
      <c r="Z12" s="23" t="str">
        <f>IF(AH19&gt;AH20,AF19,IF(AH20&gt;AH19,AF20,"-"))</f>
        <v>-</v>
      </c>
      <c r="AA12" s="24"/>
      <c r="AB12" s="25"/>
      <c r="AC12" s="25"/>
      <c r="AD12" s="9"/>
      <c r="AE12" s="9"/>
      <c r="AF12" s="9"/>
      <c r="AG12" s="9"/>
      <c r="AH12" s="9"/>
      <c r="AI12" s="9"/>
      <c r="AJ12" s="9"/>
      <c r="AK12" s="9"/>
      <c r="AL12" s="23" t="str">
        <f>IF(AT9&gt;AT10,AR9,IF(AT10&gt;AT9,AR10,"-"))</f>
        <v>-</v>
      </c>
      <c r="AM12" s="24"/>
      <c r="AN12" s="25"/>
      <c r="AO12" s="25"/>
      <c r="AP12" s="9"/>
      <c r="AQ12" s="9"/>
      <c r="AR12" s="9"/>
      <c r="AS12" s="9"/>
      <c r="AT12" s="9"/>
      <c r="AU12" s="9"/>
      <c r="AV12" s="9"/>
      <c r="AW12" s="9"/>
      <c r="AX12" s="15">
        <v>3</v>
      </c>
      <c r="AY12" s="15"/>
      <c r="AZ12" s="15" t="s">
        <v>30</v>
      </c>
      <c r="BA12" s="15"/>
      <c r="BB12" s="22"/>
    </row>
    <row r="13" spans="1:54" ht="27.75" customHeight="1" x14ac:dyDescent="0.5">
      <c r="A13" s="13">
        <v>4</v>
      </c>
      <c r="B13" s="14"/>
      <c r="C13" s="15" t="s">
        <v>8</v>
      </c>
      <c r="D13" s="15"/>
      <c r="E13" s="21"/>
      <c r="F13" s="9"/>
      <c r="G13" s="9"/>
      <c r="H13" s="9"/>
      <c r="I13" s="9"/>
      <c r="J13" s="9"/>
      <c r="K13" s="9"/>
      <c r="L13" s="9"/>
      <c r="M13" s="9"/>
      <c r="N13" s="23" t="str">
        <f>IF(J17&gt;J18,H17,IF(J18&gt;J17,H18,"-"))</f>
        <v>-</v>
      </c>
      <c r="O13" s="24"/>
      <c r="P13" s="25"/>
      <c r="Q13" s="25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23" t="str">
        <f>IF(AT17&gt;AT18,AR17,IF(AT18&gt;AT17,AR18,"-"))</f>
        <v>-</v>
      </c>
      <c r="AM13" s="24"/>
      <c r="AN13" s="25"/>
      <c r="AO13" s="25"/>
      <c r="AP13" s="9"/>
      <c r="AQ13" s="9"/>
      <c r="AR13" s="9"/>
      <c r="AS13" s="9"/>
      <c r="AT13" s="9"/>
      <c r="AU13" s="9"/>
      <c r="AV13" s="9"/>
      <c r="AW13" s="9"/>
      <c r="AX13" s="15">
        <v>4</v>
      </c>
      <c r="AY13" s="15"/>
      <c r="AZ13" s="15" t="s">
        <v>31</v>
      </c>
      <c r="BA13" s="15"/>
      <c r="BB13" s="22"/>
    </row>
    <row r="14" spans="1:54" x14ac:dyDescent="0.25">
      <c r="A14" s="1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X14" s="9"/>
      <c r="Y14" s="9"/>
      <c r="Z14" s="9"/>
      <c r="AA14" s="9"/>
      <c r="AB14" s="9"/>
      <c r="AC14" s="9"/>
      <c r="AD14" s="9"/>
      <c r="AE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12"/>
    </row>
    <row r="15" spans="1:54" x14ac:dyDescent="0.25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12"/>
    </row>
    <row r="16" spans="1:54" ht="24.75" x14ac:dyDescent="0.5">
      <c r="A16" s="30" t="s">
        <v>9</v>
      </c>
      <c r="B16" s="31"/>
      <c r="C16" s="31"/>
      <c r="D16" s="31"/>
      <c r="E16" s="32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V16" s="9"/>
      <c r="AW16" s="9"/>
      <c r="AX16" s="30" t="s">
        <v>25</v>
      </c>
      <c r="AY16" s="31"/>
      <c r="AZ16" s="31"/>
      <c r="BA16" s="31"/>
      <c r="BB16" s="32"/>
    </row>
    <row r="17" spans="1:54" ht="24.75" x14ac:dyDescent="0.5">
      <c r="A17" s="17" t="s">
        <v>1</v>
      </c>
      <c r="B17" s="18" t="s">
        <v>50</v>
      </c>
      <c r="C17" s="19" t="s">
        <v>2</v>
      </c>
      <c r="D17" s="19" t="s">
        <v>4</v>
      </c>
      <c r="E17" s="19" t="s">
        <v>3</v>
      </c>
      <c r="F17" s="9"/>
      <c r="G17" s="9"/>
      <c r="H17" s="26" t="str">
        <f>C34</f>
        <v xml:space="preserve">Francia </v>
      </c>
      <c r="I17" s="26"/>
      <c r="J17" s="25"/>
      <c r="K17" s="25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P17" s="9"/>
      <c r="AQ17" s="9"/>
      <c r="AR17" s="23" t="str">
        <f>C26</f>
        <v>Argentina</v>
      </c>
      <c r="AS17" s="24"/>
      <c r="AT17" s="25"/>
      <c r="AU17" s="25"/>
      <c r="AV17" s="9"/>
      <c r="AW17" s="9"/>
      <c r="AX17" s="19" t="s">
        <v>1</v>
      </c>
      <c r="AY17" s="18" t="s">
        <v>50</v>
      </c>
      <c r="AZ17" s="19" t="s">
        <v>2</v>
      </c>
      <c r="BA17" s="19" t="s">
        <v>4</v>
      </c>
      <c r="BB17" s="20" t="s">
        <v>3</v>
      </c>
    </row>
    <row r="18" spans="1:54" ht="27.75" customHeight="1" x14ac:dyDescent="0.5">
      <c r="A18" s="13">
        <v>1</v>
      </c>
      <c r="B18" s="14"/>
      <c r="C18" s="15" t="s">
        <v>11</v>
      </c>
      <c r="D18" s="15"/>
      <c r="E18" s="21"/>
      <c r="F18" s="9"/>
      <c r="G18" s="9"/>
      <c r="H18" s="26" t="str">
        <f>C27</f>
        <v>Arabia Saudi</v>
      </c>
      <c r="I18" s="26"/>
      <c r="J18" s="25"/>
      <c r="K18" s="25"/>
      <c r="L18" s="9"/>
      <c r="M18" s="9"/>
      <c r="R18" s="9"/>
      <c r="S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23" t="str">
        <f>C35</f>
        <v>Australia</v>
      </c>
      <c r="AS18" s="24"/>
      <c r="AT18" s="25"/>
      <c r="AU18" s="25"/>
      <c r="AV18" s="9"/>
      <c r="AW18" s="9"/>
      <c r="AX18" s="15">
        <v>1</v>
      </c>
      <c r="AY18" s="15"/>
      <c r="AZ18" s="15" t="s">
        <v>32</v>
      </c>
      <c r="BA18" s="15"/>
      <c r="BB18" s="22"/>
    </row>
    <row r="19" spans="1:54" ht="27.75" customHeight="1" x14ac:dyDescent="0.5">
      <c r="A19" s="13">
        <v>2</v>
      </c>
      <c r="B19" s="14"/>
      <c r="C19" s="15" t="s">
        <v>10</v>
      </c>
      <c r="D19" s="15"/>
      <c r="E19" s="21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23" t="str">
        <f>IF(P12&gt;P13,N12,IF(P13&gt;P12,N13,"-"))</f>
        <v>-</v>
      </c>
      <c r="U19" s="24"/>
      <c r="V19" s="25"/>
      <c r="W19" s="25"/>
      <c r="X19" s="9"/>
      <c r="Y19" s="9"/>
      <c r="AD19" s="9"/>
      <c r="AE19" s="9"/>
      <c r="AF19" s="23" t="str">
        <f>IF(AN12&gt;AN13,AL12,IF(AN13&gt;AN12,AL13,"-"))</f>
        <v>-</v>
      </c>
      <c r="AG19" s="24"/>
      <c r="AH19" s="25"/>
      <c r="AI19" s="25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15">
        <v>2</v>
      </c>
      <c r="AY19" s="15"/>
      <c r="AZ19" s="15" t="s">
        <v>33</v>
      </c>
      <c r="BA19" s="15"/>
      <c r="BB19" s="22"/>
    </row>
    <row r="20" spans="1:54" ht="30.75" customHeight="1" x14ac:dyDescent="0.5">
      <c r="A20" s="13">
        <v>3</v>
      </c>
      <c r="B20" s="14"/>
      <c r="C20" s="15" t="s">
        <v>12</v>
      </c>
      <c r="D20" s="15"/>
      <c r="E20" s="21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23" t="str">
        <f>IF(P29&gt;P30,N29,(IF(P30&gt;P29,N30,"-")))</f>
        <v>-</v>
      </c>
      <c r="U20" s="24"/>
      <c r="V20" s="25"/>
      <c r="W20" s="25"/>
      <c r="X20" s="9"/>
      <c r="AD20" s="9"/>
      <c r="AE20" s="9"/>
      <c r="AF20" s="23" t="str">
        <f>IF(AN29&gt;AN30,AL29,IF(AN30&gt;AN29,AL30,"-"))</f>
        <v>-</v>
      </c>
      <c r="AG20" s="24"/>
      <c r="AH20" s="25"/>
      <c r="AI20" s="25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15">
        <v>3</v>
      </c>
      <c r="AY20" s="15"/>
      <c r="AZ20" s="15" t="s">
        <v>34</v>
      </c>
      <c r="BA20" s="15"/>
      <c r="BB20" s="22"/>
    </row>
    <row r="21" spans="1:54" ht="30.75" customHeight="1" x14ac:dyDescent="0.25">
      <c r="A21" s="13">
        <v>4</v>
      </c>
      <c r="B21" s="14"/>
      <c r="C21" s="15" t="s">
        <v>13</v>
      </c>
      <c r="D21" s="15"/>
      <c r="E21" s="21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X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15">
        <v>4</v>
      </c>
      <c r="AY21" s="15"/>
      <c r="AZ21" s="15" t="s">
        <v>35</v>
      </c>
      <c r="BA21" s="15"/>
      <c r="BB21" s="22"/>
    </row>
    <row r="22" spans="1:54" x14ac:dyDescent="0.25">
      <c r="A22" s="1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12"/>
    </row>
    <row r="23" spans="1:54" ht="24.75" x14ac:dyDescent="0.5">
      <c r="A23" s="1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27" t="s">
        <v>49</v>
      </c>
      <c r="AA23" s="28"/>
      <c r="AB23" s="28"/>
      <c r="AC23" s="2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12"/>
    </row>
    <row r="24" spans="1:54" ht="24.75" x14ac:dyDescent="0.5">
      <c r="A24" s="30" t="s">
        <v>14</v>
      </c>
      <c r="B24" s="31"/>
      <c r="C24" s="31"/>
      <c r="D24" s="31"/>
      <c r="E24" s="32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23" t="str">
        <f>IF(V19&lt;V20,T19,IF(V20&lt;V19,T20,"-"))</f>
        <v>-</v>
      </c>
      <c r="AA24" s="24"/>
      <c r="AB24" s="25"/>
      <c r="AC24" s="25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V24" s="9"/>
      <c r="AW24" s="9"/>
      <c r="AX24" s="30" t="s">
        <v>26</v>
      </c>
      <c r="AY24" s="31"/>
      <c r="AZ24" s="31"/>
      <c r="BA24" s="31"/>
      <c r="BB24" s="32"/>
    </row>
    <row r="25" spans="1:54" ht="24.75" x14ac:dyDescent="0.5">
      <c r="A25" s="17" t="s">
        <v>1</v>
      </c>
      <c r="B25" s="18" t="s">
        <v>50</v>
      </c>
      <c r="C25" s="19" t="s">
        <v>2</v>
      </c>
      <c r="D25" s="19" t="s">
        <v>4</v>
      </c>
      <c r="E25" s="19" t="s">
        <v>3</v>
      </c>
      <c r="F25" s="9"/>
      <c r="G25" s="9"/>
      <c r="H25" s="26" t="str">
        <f>AZ18</f>
        <v>Belgica</v>
      </c>
      <c r="I25" s="26"/>
      <c r="J25" s="25"/>
      <c r="K25" s="25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23" t="str">
        <f>IF(AH19&lt;AH20,AF19,IF(AH20&lt;AH19,AF20,"-"))</f>
        <v>-</v>
      </c>
      <c r="AA25" s="24"/>
      <c r="AB25" s="25"/>
      <c r="AC25" s="25"/>
      <c r="AD25" s="9"/>
      <c r="AE25" s="9"/>
      <c r="AF25" s="9"/>
      <c r="AG25" s="9"/>
      <c r="AH25" s="9"/>
      <c r="AI25" s="9"/>
      <c r="AJ25" s="9"/>
      <c r="AK25" s="9"/>
      <c r="AP25" s="9"/>
      <c r="AQ25" s="9"/>
      <c r="AR25" s="23" t="str">
        <f>AZ10</f>
        <v>España</v>
      </c>
      <c r="AS25" s="24"/>
      <c r="AT25" s="25"/>
      <c r="AU25" s="25"/>
      <c r="AV25" s="9"/>
      <c r="AW25" s="9"/>
      <c r="AX25" s="19" t="s">
        <v>1</v>
      </c>
      <c r="AY25" s="18" t="s">
        <v>50</v>
      </c>
      <c r="AZ25" s="19" t="s">
        <v>2</v>
      </c>
      <c r="BA25" s="19" t="s">
        <v>4</v>
      </c>
      <c r="BB25" s="20" t="s">
        <v>3</v>
      </c>
    </row>
    <row r="26" spans="1:54" ht="27" customHeight="1" x14ac:dyDescent="0.5">
      <c r="A26" s="13">
        <v>1</v>
      </c>
      <c r="B26" s="14"/>
      <c r="C26" s="15" t="s">
        <v>15</v>
      </c>
      <c r="D26" s="15"/>
      <c r="E26" s="21"/>
      <c r="F26" s="9"/>
      <c r="G26" s="9"/>
      <c r="H26" s="26" t="str">
        <f>AZ11</f>
        <v>Costa Rica</v>
      </c>
      <c r="I26" s="26"/>
      <c r="J26" s="25"/>
      <c r="K26" s="25"/>
      <c r="L26" s="9"/>
      <c r="M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23" t="str">
        <f>AZ19</f>
        <v>Canada</v>
      </c>
      <c r="AS26" s="24"/>
      <c r="AT26" s="25"/>
      <c r="AU26" s="25"/>
      <c r="AV26" s="9"/>
      <c r="AW26" s="9"/>
      <c r="AX26" s="15">
        <v>1</v>
      </c>
      <c r="AY26" s="15"/>
      <c r="AZ26" s="15" t="s">
        <v>36</v>
      </c>
      <c r="BA26" s="15"/>
      <c r="BB26" s="22"/>
    </row>
    <row r="27" spans="1:54" ht="30" customHeight="1" x14ac:dyDescent="0.25">
      <c r="A27" s="13">
        <v>2</v>
      </c>
      <c r="B27" s="14"/>
      <c r="C27" s="15" t="s">
        <v>16</v>
      </c>
      <c r="D27" s="15"/>
      <c r="E27" s="21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15">
        <v>2</v>
      </c>
      <c r="AY27" s="15"/>
      <c r="AZ27" s="15" t="s">
        <v>37</v>
      </c>
      <c r="BA27" s="15"/>
      <c r="BB27" s="22"/>
    </row>
    <row r="28" spans="1:54" ht="30" customHeight="1" x14ac:dyDescent="0.25">
      <c r="A28" s="13">
        <v>3</v>
      </c>
      <c r="B28" s="14"/>
      <c r="C28" s="15" t="s">
        <v>17</v>
      </c>
      <c r="D28" s="15"/>
      <c r="E28" s="21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15">
        <v>3</v>
      </c>
      <c r="AY28" s="15"/>
      <c r="AZ28" s="15" t="s">
        <v>38</v>
      </c>
      <c r="BA28" s="15"/>
      <c r="BB28" s="22"/>
    </row>
    <row r="29" spans="1:54" ht="31.5" customHeight="1" x14ac:dyDescent="0.5">
      <c r="A29" s="13">
        <v>4</v>
      </c>
      <c r="B29" s="14"/>
      <c r="C29" s="15" t="s">
        <v>18</v>
      </c>
      <c r="D29" s="15"/>
      <c r="E29" s="21"/>
      <c r="F29" s="9"/>
      <c r="G29" s="9"/>
      <c r="H29" s="9"/>
      <c r="I29" s="9"/>
      <c r="J29" s="9"/>
      <c r="K29" s="9"/>
      <c r="L29" s="9"/>
      <c r="M29" s="9"/>
      <c r="N29" s="23" t="str">
        <f>IF(J25&gt;J26,H25,IF(J26&gt;J25,H26,"-"))</f>
        <v>-</v>
      </c>
      <c r="O29" s="24"/>
      <c r="P29" s="25"/>
      <c r="Q29" s="25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23" t="str">
        <f>IF(AT25&gt;AT26,AR25,IF(AT26&gt;AT25,AR26,"-"))</f>
        <v>-</v>
      </c>
      <c r="AM29" s="24"/>
      <c r="AN29" s="25"/>
      <c r="AO29" s="25"/>
      <c r="AP29" s="9"/>
      <c r="AQ29" s="9"/>
      <c r="AR29" s="9"/>
      <c r="AS29" s="9"/>
      <c r="AT29" s="9"/>
      <c r="AU29" s="9"/>
      <c r="AV29" s="9"/>
      <c r="AW29" s="9"/>
      <c r="AX29" s="15">
        <v>4</v>
      </c>
      <c r="AY29" s="15"/>
      <c r="AZ29" s="15" t="s">
        <v>39</v>
      </c>
      <c r="BA29" s="15"/>
      <c r="BB29" s="22"/>
    </row>
    <row r="30" spans="1:54" ht="24.75" x14ac:dyDescent="0.5">
      <c r="A30" s="1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23" t="str">
        <f>IF(J33&gt;J34,H33,IF(J34&gt;J33,H34,"-"))</f>
        <v>-</v>
      </c>
      <c r="O30" s="24"/>
      <c r="P30" s="25"/>
      <c r="Q30" s="25"/>
      <c r="R30" s="9"/>
      <c r="S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23" t="str">
        <f>IF(AT33&gt;AT34,AR33,IF(AT34&gt;AT33,AR34,"-"))</f>
        <v>-</v>
      </c>
      <c r="AM30" s="24"/>
      <c r="AN30" s="25"/>
      <c r="AO30" s="25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12"/>
    </row>
    <row r="31" spans="1:54" x14ac:dyDescent="0.25">
      <c r="A31" s="1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12"/>
    </row>
    <row r="32" spans="1:54" ht="24.75" x14ac:dyDescent="0.5">
      <c r="A32" s="30" t="s">
        <v>19</v>
      </c>
      <c r="B32" s="31"/>
      <c r="C32" s="31"/>
      <c r="D32" s="31"/>
      <c r="E32" s="32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V32" s="9"/>
      <c r="AW32" s="9"/>
      <c r="AX32" s="30" t="s">
        <v>27</v>
      </c>
      <c r="AY32" s="31"/>
      <c r="AZ32" s="31"/>
      <c r="BA32" s="31"/>
      <c r="BB32" s="32"/>
    </row>
    <row r="33" spans="1:54" ht="24.75" x14ac:dyDescent="0.5">
      <c r="A33" s="17" t="s">
        <v>1</v>
      </c>
      <c r="B33" s="18" t="s">
        <v>50</v>
      </c>
      <c r="C33" s="19" t="s">
        <v>2</v>
      </c>
      <c r="D33" s="19" t="s">
        <v>4</v>
      </c>
      <c r="E33" s="19" t="s">
        <v>3</v>
      </c>
      <c r="F33" s="9"/>
      <c r="G33" s="9"/>
      <c r="H33" s="26" t="str">
        <f>AZ34</f>
        <v>Portugal</v>
      </c>
      <c r="I33" s="26"/>
      <c r="J33" s="25"/>
      <c r="K33" s="25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P33" s="9"/>
      <c r="AQ33" s="9"/>
      <c r="AR33" s="23" t="str">
        <f>AZ26</f>
        <v>Brasil</v>
      </c>
      <c r="AS33" s="24"/>
      <c r="AT33" s="25"/>
      <c r="AU33" s="25"/>
      <c r="AV33" s="9"/>
      <c r="AW33" s="9"/>
      <c r="AX33" s="19" t="s">
        <v>1</v>
      </c>
      <c r="AY33" s="18" t="s">
        <v>50</v>
      </c>
      <c r="AZ33" s="19" t="s">
        <v>2</v>
      </c>
      <c r="BA33" s="19" t="s">
        <v>4</v>
      </c>
      <c r="BB33" s="20" t="s">
        <v>3</v>
      </c>
    </row>
    <row r="34" spans="1:54" ht="30" customHeight="1" x14ac:dyDescent="0.5">
      <c r="A34" s="13">
        <v>1</v>
      </c>
      <c r="B34" s="14"/>
      <c r="C34" s="15" t="s">
        <v>20</v>
      </c>
      <c r="D34" s="15"/>
      <c r="E34" s="21"/>
      <c r="F34" s="9"/>
      <c r="G34" s="9"/>
      <c r="H34" s="26" t="str">
        <f>AZ27</f>
        <v>Serbia</v>
      </c>
      <c r="I34" s="26"/>
      <c r="J34" s="25"/>
      <c r="K34" s="25"/>
      <c r="L34" s="9"/>
      <c r="M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23" t="str">
        <f>AZ35</f>
        <v>Ghana</v>
      </c>
      <c r="AS34" s="24"/>
      <c r="AT34" s="25"/>
      <c r="AU34" s="25"/>
      <c r="AV34" s="9"/>
      <c r="AW34" s="9"/>
      <c r="AX34" s="15">
        <v>1</v>
      </c>
      <c r="AY34" s="15"/>
      <c r="AZ34" s="15" t="s">
        <v>40</v>
      </c>
      <c r="BA34" s="15"/>
      <c r="BB34" s="22"/>
    </row>
    <row r="35" spans="1:54" ht="32.25" customHeight="1" x14ac:dyDescent="0.5">
      <c r="A35" s="13">
        <v>2</v>
      </c>
      <c r="B35" s="14"/>
      <c r="C35" s="15" t="s">
        <v>21</v>
      </c>
      <c r="D35" s="15"/>
      <c r="E35" s="21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45" t="s">
        <v>51</v>
      </c>
      <c r="AA35" s="46"/>
      <c r="AB35" s="46"/>
      <c r="AC35" s="47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15">
        <v>2</v>
      </c>
      <c r="AY35" s="15"/>
      <c r="AZ35" s="15" t="s">
        <v>41</v>
      </c>
      <c r="BA35" s="15"/>
      <c r="BB35" s="22"/>
    </row>
    <row r="36" spans="1:54" ht="29.25" customHeight="1" x14ac:dyDescent="0.5">
      <c r="A36" s="13">
        <v>3</v>
      </c>
      <c r="B36" s="14"/>
      <c r="C36" s="15" t="s">
        <v>22</v>
      </c>
      <c r="D36" s="15"/>
      <c r="E36" s="21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23" t="str">
        <f>IF(AB11&gt;AB12,Z11,IF(AB12&gt;AB11,Z12,"-"))</f>
        <v>-</v>
      </c>
      <c r="AA36" s="48"/>
      <c r="AB36" s="48"/>
      <c r="AC36" s="24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15">
        <v>3</v>
      </c>
      <c r="AY36" s="15"/>
      <c r="AZ36" s="15" t="s">
        <v>42</v>
      </c>
      <c r="BA36" s="15"/>
      <c r="BB36" s="22"/>
    </row>
    <row r="37" spans="1:54" ht="30" customHeight="1" x14ac:dyDescent="0.25">
      <c r="A37" s="13">
        <v>4</v>
      </c>
      <c r="B37" s="14"/>
      <c r="C37" s="15" t="s">
        <v>23</v>
      </c>
      <c r="D37" s="15"/>
      <c r="E37" s="21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15">
        <v>4</v>
      </c>
      <c r="AY37" s="15"/>
      <c r="AZ37" s="15" t="s">
        <v>43</v>
      </c>
      <c r="BA37" s="15"/>
      <c r="BB37" s="22"/>
    </row>
    <row r="38" spans="1:54" x14ac:dyDescent="0.25">
      <c r="A38" s="1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12"/>
    </row>
  </sheetData>
  <mergeCells count="85">
    <mergeCell ref="Z35:AC35"/>
    <mergeCell ref="Z36:AC36"/>
    <mergeCell ref="A1:BB3"/>
    <mergeCell ref="AX8:BB8"/>
    <mergeCell ref="AX16:BB16"/>
    <mergeCell ref="AX24:BB24"/>
    <mergeCell ref="J9:K9"/>
    <mergeCell ref="H9:I9"/>
    <mergeCell ref="J10:K10"/>
    <mergeCell ref="H34:I34"/>
    <mergeCell ref="J34:K34"/>
    <mergeCell ref="AX32:BB32"/>
    <mergeCell ref="A5:E5"/>
    <mergeCell ref="H5:K5"/>
    <mergeCell ref="N5:Q5"/>
    <mergeCell ref="T5:W5"/>
    <mergeCell ref="A8:E8"/>
    <mergeCell ref="A16:E16"/>
    <mergeCell ref="A24:E24"/>
    <mergeCell ref="A32:E32"/>
    <mergeCell ref="Z10:AC10"/>
    <mergeCell ref="AF5:AI5"/>
    <mergeCell ref="AL5:AO5"/>
    <mergeCell ref="AR5:AU5"/>
    <mergeCell ref="AX5:BB5"/>
    <mergeCell ref="H25:I25"/>
    <mergeCell ref="J25:K25"/>
    <mergeCell ref="H26:I26"/>
    <mergeCell ref="J26:K26"/>
    <mergeCell ref="H33:I33"/>
    <mergeCell ref="J33:K33"/>
    <mergeCell ref="N30:O30"/>
    <mergeCell ref="P30:Q30"/>
    <mergeCell ref="T19:U19"/>
    <mergeCell ref="V19:W19"/>
    <mergeCell ref="T20:U20"/>
    <mergeCell ref="V20:W20"/>
    <mergeCell ref="H10:I10"/>
    <mergeCell ref="J17:K17"/>
    <mergeCell ref="J18:K18"/>
    <mergeCell ref="H18:I18"/>
    <mergeCell ref="H17:I17"/>
    <mergeCell ref="N12:O12"/>
    <mergeCell ref="P12:Q12"/>
    <mergeCell ref="N13:O13"/>
    <mergeCell ref="P13:Q13"/>
    <mergeCell ref="N29:O29"/>
    <mergeCell ref="P29:Q29"/>
    <mergeCell ref="AB11:AC11"/>
    <mergeCell ref="Z12:AA12"/>
    <mergeCell ref="AB12:AC12"/>
    <mergeCell ref="Z24:AA24"/>
    <mergeCell ref="AB24:AC24"/>
    <mergeCell ref="Z23:AC23"/>
    <mergeCell ref="Z11:AA11"/>
    <mergeCell ref="Z25:AA25"/>
    <mergeCell ref="AB25:AC25"/>
    <mergeCell ref="AF19:AG19"/>
    <mergeCell ref="AH19:AI19"/>
    <mergeCell ref="AF20:AG20"/>
    <mergeCell ref="AH20:AI20"/>
    <mergeCell ref="AL12:AM12"/>
    <mergeCell ref="AN12:AO12"/>
    <mergeCell ref="AL13:AM13"/>
    <mergeCell ref="AN13:AO13"/>
    <mergeCell ref="AL29:AM29"/>
    <mergeCell ref="AN29:AO29"/>
    <mergeCell ref="AR18:AS18"/>
    <mergeCell ref="AT18:AU18"/>
    <mergeCell ref="AR25:AS25"/>
    <mergeCell ref="AT25:AU25"/>
    <mergeCell ref="AR26:AS26"/>
    <mergeCell ref="AT26:AU26"/>
    <mergeCell ref="AR9:AS9"/>
    <mergeCell ref="AT9:AU9"/>
    <mergeCell ref="AR10:AS10"/>
    <mergeCell ref="AT10:AU10"/>
    <mergeCell ref="AR17:AS17"/>
    <mergeCell ref="AT17:AU17"/>
    <mergeCell ref="AR33:AS33"/>
    <mergeCell ref="AT33:AU33"/>
    <mergeCell ref="AR34:AS34"/>
    <mergeCell ref="AT34:AU34"/>
    <mergeCell ref="AL30:AM30"/>
    <mergeCell ref="AN30:AO30"/>
  </mergeCells>
  <pageMargins left="0.7" right="0.7" top="0.75" bottom="0.75" header="0.3" footer="0.3"/>
  <pageSetup paperSize="9" fitToWidth="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MUNDIAL</vt:lpstr>
      <vt:lpstr>MUNDIAL!Área_de_impresión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Atila Ardila Quiñonez</dc:creator>
  <cp:lastModifiedBy>Andres Atila Ardila Quiñonez</cp:lastModifiedBy>
  <dcterms:created xsi:type="dcterms:W3CDTF">2022-11-20T12:00:15Z</dcterms:created>
  <dcterms:modified xsi:type="dcterms:W3CDTF">2022-11-20T15:41:20Z</dcterms:modified>
</cp:coreProperties>
</file>